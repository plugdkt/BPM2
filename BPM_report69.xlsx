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gruethai.tu\Desktop\งานงบปี 69\2.ตั้งงบประมาณ ปี 69\"/>
    </mc:Choice>
  </mc:AlternateContent>
  <xr:revisionPtr revIDLastSave="0" documentId="13_ncr:1_{B30312BE-804D-485B-BCE5-5F2B0708632B}" xr6:coauthVersionLast="47" xr6:coauthVersionMax="47" xr10:uidLastSave="{00000000-0000-0000-0000-000000000000}"/>
  <bookViews>
    <workbookView xWindow="-120" yWindow="-120" windowWidth="29040" windowHeight="15720" firstSheet="4" activeTab="4" xr2:uid="{BD4C8B70-DD95-4B4A-873A-58343DC07C65}"/>
  </bookViews>
  <sheets>
    <sheet name="งบประมาณที่ได้รับปี 69" sheetId="5" r:id="rId1"/>
    <sheet name="รวมงบประมาณประจำปี 2569 " sheetId="8" state="hidden" r:id="rId2"/>
    <sheet name="สรุปงบประมาณสำนักงานคณะฯ 69" sheetId="2" r:id="rId3"/>
    <sheet name="สรุปงบประมาณ จุล 69" sheetId="1" r:id="rId4"/>
    <sheet name="เดินทางจุล" sheetId="11" r:id="rId5"/>
    <sheet name="สรุปงบประมาณ ชีวเคมี 69" sheetId="3" r:id="rId6"/>
    <sheet name="ค่าเดินทางชีวเคมี" sheetId="9" r:id="rId7"/>
    <sheet name=" สรุปงบประมาณ โภชนาการ 69" sheetId="4" r:id="rId8"/>
    <sheet name="ค่าเดินทางโภชนาการ" sheetId="10" r:id="rId9"/>
    <sheet name="สรุปงบประมาณ กายวิภาค 69" sheetId="6" r:id="rId10"/>
    <sheet name="เดินทางกายวิภาค" sheetId="13" r:id="rId11"/>
    <sheet name="สรุปงบประมาณ สรีรวิทยา 69" sheetId="7" r:id="rId12"/>
    <sheet name="เดินทางสรีระ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2" l="1"/>
  <c r="G20" i="12"/>
  <c r="G19" i="12"/>
  <c r="G18" i="12"/>
  <c r="H4" i="12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G21" i="13"/>
  <c r="G20" i="13"/>
  <c r="G19" i="13"/>
  <c r="G18" i="13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G21" i="10"/>
  <c r="G20" i="10"/>
  <c r="G19" i="10"/>
  <c r="G18" i="10"/>
  <c r="H4" i="10"/>
  <c r="H5" i="10" s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9" i="1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S3" i="6" l="1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" i="6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" i="1"/>
  <c r="G16" i="9"/>
  <c r="G17" i="9"/>
  <c r="G18" i="9"/>
  <c r="G19" i="9"/>
  <c r="G20" i="9"/>
  <c r="G21" i="9"/>
  <c r="G5" i="9"/>
  <c r="G6" i="9"/>
  <c r="G7" i="9"/>
  <c r="G8" i="9"/>
  <c r="G9" i="9"/>
  <c r="G10" i="9"/>
  <c r="G11" i="9"/>
  <c r="G12" i="9"/>
  <c r="G13" i="9"/>
  <c r="G14" i="9"/>
  <c r="G15" i="9"/>
  <c r="G4" i="9"/>
  <c r="H4" i="9" s="1"/>
  <c r="D22" i="3"/>
  <c r="F27" i="4"/>
  <c r="S27" i="4" s="1"/>
  <c r="E28" i="4"/>
  <c r="D28" i="4"/>
  <c r="F3" i="4"/>
  <c r="F4" i="4"/>
  <c r="F5" i="4"/>
  <c r="F6" i="4"/>
  <c r="S6" i="4" s="1"/>
  <c r="F7" i="4"/>
  <c r="S7" i="4" s="1"/>
  <c r="F8" i="4"/>
  <c r="S8" i="4" s="1"/>
  <c r="F9" i="4"/>
  <c r="S9" i="4" s="1"/>
  <c r="F10" i="4"/>
  <c r="S10" i="4" s="1"/>
  <c r="F11" i="4"/>
  <c r="S11" i="4" s="1"/>
  <c r="F12" i="4"/>
  <c r="S12" i="4" s="1"/>
  <c r="F13" i="4"/>
  <c r="S13" i="4" s="1"/>
  <c r="F14" i="4"/>
  <c r="S14" i="4" s="1"/>
  <c r="F15" i="4"/>
  <c r="S15" i="4" s="1"/>
  <c r="F16" i="4"/>
  <c r="S16" i="4" s="1"/>
  <c r="F17" i="4"/>
  <c r="S17" i="4" s="1"/>
  <c r="F18" i="4"/>
  <c r="S18" i="4" s="1"/>
  <c r="F19" i="4"/>
  <c r="S19" i="4" s="1"/>
  <c r="F20" i="4"/>
  <c r="S20" i="4" s="1"/>
  <c r="F21" i="4"/>
  <c r="S21" i="4" s="1"/>
  <c r="F22" i="4"/>
  <c r="S22" i="4" s="1"/>
  <c r="F23" i="4"/>
  <c r="S23" i="4" s="1"/>
  <c r="F24" i="4"/>
  <c r="S24" i="4" s="1"/>
  <c r="F25" i="4"/>
  <c r="S25" i="4" s="1"/>
  <c r="F26" i="4"/>
  <c r="S26" i="4" s="1"/>
  <c r="P31" i="1"/>
  <c r="H5" i="9" l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F45" i="11"/>
  <c r="E45" i="11"/>
  <c r="D45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H4" i="11" s="1"/>
  <c r="H5" i="11" l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G45" i="1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E19" i="6"/>
  <c r="F3" i="6"/>
  <c r="F4" i="6"/>
  <c r="O16" i="7" l="1"/>
  <c r="F9" i="7"/>
  <c r="P9" i="7" s="1"/>
  <c r="F10" i="7"/>
  <c r="P10" i="7" s="1"/>
  <c r="F11" i="7"/>
  <c r="P11" i="7" s="1"/>
  <c r="F12" i="7"/>
  <c r="P12" i="7" s="1"/>
  <c r="F13" i="7"/>
  <c r="P13" i="7" s="1"/>
  <c r="F14" i="7"/>
  <c r="P14" i="7" s="1"/>
  <c r="F15" i="7"/>
  <c r="P15" i="7" s="1"/>
  <c r="D16" i="7"/>
  <c r="E16" i="7"/>
  <c r="F16" i="7" l="1"/>
  <c r="D31" i="1"/>
  <c r="O31" i="1" l="1"/>
  <c r="N16" i="7"/>
  <c r="M16" i="7"/>
  <c r="N19" i="6"/>
  <c r="M19" i="6"/>
  <c r="N28" i="4"/>
  <c r="M28" i="4"/>
  <c r="M22" i="3"/>
  <c r="N22" i="3"/>
  <c r="N31" i="1"/>
  <c r="M31" i="1"/>
  <c r="D19" i="6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H22" i="3"/>
  <c r="I22" i="3"/>
  <c r="J22" i="3"/>
  <c r="K22" i="3"/>
  <c r="L22" i="3"/>
  <c r="G22" i="3"/>
  <c r="H28" i="4"/>
  <c r="I28" i="4"/>
  <c r="J28" i="4"/>
  <c r="K28" i="4"/>
  <c r="L28" i="4"/>
  <c r="G28" i="4"/>
  <c r="H19" i="6"/>
  <c r="I19" i="6"/>
  <c r="J19" i="6"/>
  <c r="K19" i="6"/>
  <c r="L19" i="6"/>
  <c r="G19" i="6"/>
  <c r="I16" i="7"/>
  <c r="J16" i="7"/>
  <c r="K16" i="7"/>
  <c r="L16" i="7"/>
  <c r="H16" i="7"/>
  <c r="G16" i="7"/>
  <c r="F6" i="7"/>
  <c r="P6" i="7" s="1"/>
  <c r="F7" i="7"/>
  <c r="P7" i="7" s="1"/>
  <c r="F8" i="7"/>
  <c r="P8" i="7" s="1"/>
  <c r="H31" i="1"/>
  <c r="I31" i="1"/>
  <c r="J31" i="1"/>
  <c r="K31" i="1"/>
  <c r="L31" i="1"/>
  <c r="G31" i="1"/>
  <c r="E31" i="1"/>
  <c r="E22" i="3"/>
  <c r="F3" i="3"/>
  <c r="O3" i="3" s="1"/>
  <c r="F4" i="3"/>
  <c r="O4" i="3" s="1"/>
  <c r="F6" i="3"/>
  <c r="O6" i="3" s="1"/>
  <c r="F7" i="3"/>
  <c r="O7" i="3" s="1"/>
  <c r="F8" i="3"/>
  <c r="O8" i="3" s="1"/>
  <c r="F9" i="3"/>
  <c r="O9" i="3" s="1"/>
  <c r="F10" i="3"/>
  <c r="O10" i="3" s="1"/>
  <c r="F11" i="3"/>
  <c r="O11" i="3" s="1"/>
  <c r="F12" i="3"/>
  <c r="O12" i="3" s="1"/>
  <c r="F13" i="3"/>
  <c r="O13" i="3" s="1"/>
  <c r="F14" i="3"/>
  <c r="O14" i="3" s="1"/>
  <c r="F15" i="3"/>
  <c r="O15" i="3" s="1"/>
  <c r="F16" i="3"/>
  <c r="O16" i="3" s="1"/>
  <c r="F17" i="3"/>
  <c r="O17" i="3" s="1"/>
  <c r="F18" i="3"/>
  <c r="O18" i="3" s="1"/>
  <c r="F19" i="3"/>
  <c r="O19" i="3" s="1"/>
  <c r="F20" i="3"/>
  <c r="O20" i="3" s="1"/>
  <c r="F21" i="3"/>
  <c r="O21" i="3" s="1"/>
  <c r="F3" i="7"/>
  <c r="P3" i="7" s="1"/>
  <c r="F4" i="7"/>
  <c r="P4" i="7" s="1"/>
  <c r="F5" i="7"/>
  <c r="P5" i="7" s="1"/>
  <c r="F2" i="7"/>
  <c r="P2" i="7" s="1"/>
  <c r="F3" i="1"/>
  <c r="F2" i="3"/>
  <c r="O2" i="3" s="1"/>
  <c r="S3" i="4"/>
  <c r="S4" i="4"/>
  <c r="S5" i="4"/>
  <c r="F2" i="4"/>
  <c r="F2" i="6"/>
  <c r="F33" i="5"/>
  <c r="E33" i="5"/>
  <c r="D33" i="5"/>
  <c r="C33" i="5"/>
  <c r="H32" i="5"/>
  <c r="H31" i="5"/>
  <c r="H30" i="5"/>
  <c r="H29" i="5"/>
  <c r="H28" i="5"/>
  <c r="H27" i="5"/>
  <c r="H26" i="5"/>
  <c r="H25" i="5"/>
  <c r="H33" i="5" l="1"/>
  <c r="P16" i="7"/>
  <c r="S2" i="4"/>
  <c r="B21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2" i="2"/>
  <c r="I3" i="8"/>
  <c r="I4" i="8"/>
  <c r="I5" i="8"/>
  <c r="I6" i="8"/>
  <c r="I7" i="8"/>
  <c r="I8" i="8"/>
  <c r="I9" i="8"/>
  <c r="I10" i="8"/>
  <c r="I11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2" i="8"/>
  <c r="C5" i="3"/>
  <c r="F5" i="3" s="1"/>
  <c r="O5" i="3" s="1"/>
  <c r="G40" i="2" l="1"/>
  <c r="C83" i="8"/>
  <c r="D9" i="5"/>
  <c r="D5" i="5"/>
  <c r="D6" i="5"/>
  <c r="D7" i="5"/>
  <c r="D8" i="5"/>
  <c r="C12" i="5"/>
  <c r="B12" i="5"/>
  <c r="D83" i="8"/>
  <c r="F83" i="8"/>
  <c r="G83" i="8"/>
  <c r="H83" i="8"/>
  <c r="E12" i="8"/>
  <c r="E83" i="8" l="1"/>
  <c r="I83" i="8" s="1"/>
  <c r="I12" i="8"/>
  <c r="C19" i="6" l="1"/>
  <c r="F19" i="6" s="1"/>
  <c r="C28" i="4" l="1"/>
  <c r="F28" i="4" s="1"/>
  <c r="S28" i="4" s="1"/>
  <c r="C23" i="3" l="1"/>
  <c r="C22" i="3" l="1"/>
  <c r="C24" i="3" l="1"/>
  <c r="F22" i="3"/>
  <c r="O22" i="3" s="1"/>
  <c r="C31" i="1"/>
  <c r="F31" i="1" s="1"/>
  <c r="C33" i="1" l="1"/>
  <c r="D4" i="5"/>
  <c r="D12" i="5" s="1"/>
  <c r="C40" i="2" l="1"/>
</calcChain>
</file>

<file path=xl/sharedStrings.xml><?xml version="1.0" encoding="utf-8"?>
<sst xmlns="http://schemas.openxmlformats.org/spreadsheetml/2006/main" count="566" uniqueCount="307">
  <si>
    <t>ลำดับ</t>
  </si>
  <si>
    <t>รายการ</t>
  </si>
  <si>
    <t>ชีวเคมี</t>
  </si>
  <si>
    <t>โภชนาการ</t>
  </si>
  <si>
    <t>คณะฯ</t>
  </si>
  <si>
    <t>รวมงบประมาณ</t>
  </si>
  <si>
    <t>ค่าจ้างลูกจ้างรายเดือน</t>
  </si>
  <si>
    <t>ค่าจ้างลูกจ้างรายวัน</t>
  </si>
  <si>
    <t>ค่าตอบแทนการสอน</t>
  </si>
  <si>
    <t>ค่าตอบแทนนิสิตช่วยงาน</t>
  </si>
  <si>
    <t>ค่าปฏิบัติงานนอกเวลาทำการ (OT เจ้าหน้าที่)</t>
  </si>
  <si>
    <t>ประจำตำแหน่ง</t>
  </si>
  <si>
    <t>ประกันสังคม</t>
  </si>
  <si>
    <t>ไปรษณีย์</t>
  </si>
  <si>
    <t>โทรศัพท์</t>
  </si>
  <si>
    <t>ค่าเบี้ยเลี้ยง ค่าที่พัก และค่าพาหนะ</t>
  </si>
  <si>
    <t>ค่าซ่อมแซม/ค่าซ่อมบำรุงรักษา</t>
  </si>
  <si>
    <t>ค่าใช้สอยอื่น ๆ</t>
  </si>
  <si>
    <t>วัสดุเชื้อเพลิง และหล่อลื่น</t>
  </si>
  <si>
    <t>ค่าวัสดุก่อสร้าง</t>
  </si>
  <si>
    <t>ค่าวัสดุการเกษตร</t>
  </si>
  <si>
    <t>ค่าวัสดุการศึกษา (ของสด)</t>
  </si>
  <si>
    <t>ค่าวัสดุงานบ้านงานครัว</t>
  </si>
  <si>
    <t>ครุภัณฑ์งานบ้านงานครัว</t>
  </si>
  <si>
    <t>ค่าวัสดุไฟฟ้าและวิทยุ</t>
  </si>
  <si>
    <t>ค่าวัสดุเวชภัณฑ์ยา</t>
  </si>
  <si>
    <t>ค่าวัสดุสำนักงาน</t>
  </si>
  <si>
    <t>ค่าเช่าเครื่องถ่าย</t>
  </si>
  <si>
    <t>ค่ารถตู้</t>
  </si>
  <si>
    <t>ครุภัณฑ์การศึกษา</t>
  </si>
  <si>
    <t>โครงการตรวจประเมินประกันคุณภาพการศึกษา ระดับหลักสูตร (AUN QA) หลักสูตรโภชนาการและการกำหนดอาหาร</t>
  </si>
  <si>
    <t>โครงการพระราชทานปริญญาบัตร</t>
  </si>
  <si>
    <t>โครงการตรวจประเมินการประกันคุณภาพการศึกษา ระดับหลักสูตร (AUN QA) หลักสูตรจุลชีววิทยา</t>
  </si>
  <si>
    <t>โครงการตรวจประเมินการประกันคุณภาพการศึกษา ระดับหลักสูตร (AUN QA) หลักสูตรชีวเคมี</t>
  </si>
  <si>
    <t>โครงการให้คำปรึกษาด้านโภชนาการ</t>
  </si>
  <si>
    <t>โครงการสหกิจศึกษา หลักสูตรชีวเคมี</t>
  </si>
  <si>
    <t>โครงการโภชนคลินิกและโภชนบำบัดทางการแพทย์</t>
  </si>
  <si>
    <t>โครงการสหกิจศึกษา หลักสูตรจุลชีววิทยา</t>
  </si>
  <si>
    <t>โครงการฝึกงานนิสิต หลักสูตรโภชนาการและการกำหนดอาหาร</t>
  </si>
  <si>
    <t>โครงการฝึกปฏิบัติการโภชนาการชุมชน</t>
  </si>
  <si>
    <t>โครงการทวนสอบฝึกปฏิบัติวิชาชีพการกำหนดอาหาร</t>
  </si>
  <si>
    <t xml:space="preserve">โครงการพัฒนาทักษะความเป็นผู้นำและการทำงานเป็นทีมให้แก่นิสิต (ทุติยนิเทศ) </t>
  </si>
  <si>
    <t>โครงการศึกษาดูงานนอกสถานที่ของนิสิต หลักสูตรโภชนาการ</t>
  </si>
  <si>
    <t>โครงการศึกษาดูงานนอกสถานที่ของนิสิตหลักสูตรชีวเคมี</t>
  </si>
  <si>
    <t>โครงการบริการวิชาการชุมชน หลักสูตรชีวเคมี</t>
  </si>
  <si>
    <t xml:space="preserve">โครงการบริการวิชาการ หลักสูตรจุลชีววิทยา
</t>
  </si>
  <si>
    <t>โครงการทวนสอบเทคนิคทางจุลชีววิทยา</t>
  </si>
  <si>
    <t>โครงการโภชนสัมพันธ์</t>
  </si>
  <si>
    <t xml:space="preserve">โครงการศึกษาดูงานนอกสถานที่ของนิสิตหลักสูตรจุลชีววิทยา </t>
  </si>
  <si>
    <t xml:space="preserve">ค่าใช้จ่ายในการจัดประชุม </t>
  </si>
  <si>
    <t>โครงการปฐมนิเทศและส่งเสริมอัตลักษณ์นิสิตคณะวิทยาศาสตร์การแพทย์</t>
  </si>
  <si>
    <t>โครงการวิทย์แพทย์สัญจร</t>
  </si>
  <si>
    <t>โครงการพัฒนาศักยภาพการวิจัย คณะวิทยาศาสตร์การแพทย์</t>
  </si>
  <si>
    <t xml:space="preserve">โครงการประเมินคุณภาพการศึกษาเพื่อความเป็นเลิศ EdPEx </t>
  </si>
  <si>
    <t>โครงการพัฒนาการบริหารองค์กร และเสริมสร้างความสัมพันธ์บุคลากร คณะวิทยาศาสตร์การแพทย์</t>
  </si>
  <si>
    <t>โครงการส่งเสริมคุณธรรมและความโปร่งใสในการดำเนินงาน คณะวิทยาศาสตร์การแพทย์</t>
  </si>
  <si>
    <t>โครงการปรับปรุงแผนยุทธศาสตร์ คณะวิทยาศาสตร์การแพทย์</t>
  </si>
  <si>
    <t xml:space="preserve">โครงการพัฒนาศักยภาพสายสนับสนุน </t>
  </si>
  <si>
    <t>โครงการส่งเสริมสุขภาพ และสานสัมพันธ์บุคลากร คณะวิทยาศาสตร์การแพทย์</t>
  </si>
  <si>
    <t>โครงการสนับสนุนการพัฒนาสมรรถนะอาจารย์มืออาชีพ</t>
  </si>
  <si>
    <t>โครงการสานสัมพันธ์นิสิตและบุคลากร คณะวิทยาศาสตร์การแพทย์</t>
  </si>
  <si>
    <t>ค่าวัสดุวิทยาศาสตร์หรือการแพทย์</t>
  </si>
  <si>
    <t>วัสดุวิทยาศาสตร์หรือการแพทย์</t>
  </si>
  <si>
    <t>ค่าวัสดุวิทยาศาสตร์หรือการแพทย์ รวม IS</t>
  </si>
  <si>
    <t>โครงการปัจฉิมนิเทศ จุลชีววิทยา</t>
  </si>
  <si>
    <t>โอนลด</t>
  </si>
  <si>
    <t>งบประมาณ</t>
  </si>
  <si>
    <t>โอนเพิ่ม</t>
  </si>
  <si>
    <t xml:space="preserve">โครงการส่งเสริมและพัฒนาการเรียนการสอนปรีคลินิกด้านจุลชีววิทยา </t>
  </si>
  <si>
    <t>โครงการโคโลนีเกมส์</t>
  </si>
  <si>
    <t>โครงการปรับปรุงหลักสูตรสาขาวิชาจุลชีววิทยา</t>
  </si>
  <si>
    <t xml:space="preserve">โครงการปัจฉิมนิเทศ หลักสูตรชีวเคมี </t>
  </si>
  <si>
    <t>โครงการปรับปรุงหลักสูตรชีวเคมี</t>
  </si>
  <si>
    <t>โครงการทบทวนและปรับปรุงหลักสูตรวิทยาศาสตรบัณฑิต สาขาวิชาโภชนาการและการกำหนดอาหาร ตามกรอบมาตรฐานการอุดมศึกษา</t>
  </si>
  <si>
    <t>งบต้นปีจุล</t>
  </si>
  <si>
    <t>โครงการนำเสนอผลงานวิจัยของนิสิตครั้งที่ 11 (The 11 th Med-Sci Student Research)</t>
  </si>
  <si>
    <t>โครงการการนำเทคโนโลยีและผลงานวิจัยไปใช้พัฒนาชุมชน</t>
  </si>
  <si>
    <t xml:space="preserve">โครงการทุติยนิเทศ (9 พฤติกรรม 9 สู่ความสำเร็จ) </t>
  </si>
  <si>
    <t>ค่าวัสดุคอมพิวเตอร์</t>
  </si>
  <si>
    <t>จัดสรรงบประมาณประจำปีงบประมาณ 2569</t>
  </si>
  <si>
    <t>งบประมาณรายได้ค่าธรรมเนียมนิสิต และงบประมาณผลิตแพทย์เพิ่ม</t>
  </si>
  <si>
    <t>หลักสูตร</t>
  </si>
  <si>
    <t>งบประมาณรายได้</t>
  </si>
  <si>
    <t>งบผลิตแพทย์เพิ่ม</t>
  </si>
  <si>
    <t>หลักสูตรจุลชีววิทยา</t>
  </si>
  <si>
    <t>หลักสูตรชีวเคมี</t>
  </si>
  <si>
    <t>หลักสูตรโภชนาการ</t>
  </si>
  <si>
    <t>สาขาสรีรวิทยา</t>
  </si>
  <si>
    <t>สาขากายวิภาคศาสตร์</t>
  </si>
  <si>
    <t>คณะวิทยาศาสตร์การแพทย์</t>
  </si>
  <si>
    <t>รวม</t>
  </si>
  <si>
    <t>รถตู้</t>
  </si>
  <si>
    <t>เงินวิจัย</t>
  </si>
  <si>
    <t xml:space="preserve">งบประมาณที่ได้รับสรรจัด </t>
  </si>
  <si>
    <t>อาจารย์+นักวิทย์</t>
  </si>
  <si>
    <t xml:space="preserve"> โครงการสร้างเครือข่ายความร่วมมือเพื่อยกระดับคุณภาพหลักสูตรชีวเคมีในระดับอุดมศึกษา</t>
  </si>
  <si>
    <t>โครงการใหม่</t>
  </si>
  <si>
    <t>กายวิภาค</t>
  </si>
  <si>
    <t>1. อาจารย์ 13*12,000=156,000
2. นักวิทย์ 3*12,000=36,000
3. เตรียมความพร้อมเจ้าภาพ AAT49 =40,000</t>
  </si>
  <si>
    <t>1. เครื่องชั่ง 4 ตำแหน่ง =75,000
2. CO2 tank =8,000
3. set autopipette p2, p20, p200, p1000 (2) พร้อมขาตั้ง =60,000</t>
  </si>
  <si>
    <t xml:space="preserve">โครงการเทิดทูนกายวิทยาทานอาจารย์ใหญ่ </t>
  </si>
  <si>
    <t>1. กิจกรรมระลึกคุณอาจารย์ใหญ่ =25,000
2. กิจกรรมทำบุญอาจารย์ใหญ่ =25,000</t>
  </si>
  <si>
    <t>ค่าสมทบทุนจัดงานพระราชทานเพลิงศพอาจารย์ใหญ่</t>
  </si>
  <si>
    <t>ค่าใช้สอยอื่นๆ</t>
  </si>
  <si>
    <t>1. จัดทำวิดิทัศน์แนะนำเจ้าภาพ AAT49 =10,000</t>
  </si>
  <si>
    <t>ครุภัณฑ์สำนักงาน</t>
  </si>
  <si>
    <t>โครงการเตรียมความพร้อมการยกระดับความปลอดภัยห้องปฏิบัติการสาขาสรีรวิทยา</t>
  </si>
  <si>
    <t>โครงการบริการวิชาการชุมชน สาขาวิชาสรีรวิทยา</t>
  </si>
  <si>
    <t>แลกเปลี่ยนเรียนรู้ สาขาวิชาสรีรวิทยา</t>
  </si>
  <si>
    <t>โครงการสืบสานวัฒนธรรม</t>
  </si>
  <si>
    <t xml:space="preserve"> โครงการทำบุญสัตว์ทดลอง</t>
  </si>
  <si>
    <t>สรีรวิทยา69</t>
  </si>
  <si>
    <t>โครงการพัฒนากายภาพและสิ่งแวดล้อม คณะวิทยาศาสตร์การแพทย์</t>
  </si>
  <si>
    <t>สำนักงานธุรการ</t>
  </si>
  <si>
    <t>จุลชีววิทยา</t>
  </si>
  <si>
    <t>สรีรวิทยา</t>
  </si>
  <si>
    <t>วัสดุงานบ้านงานครัว</t>
  </si>
  <si>
    <t>รวมงบประมาณ สาขา หลักสูตร</t>
  </si>
  <si>
    <t>รวมงบแต่ละรายการ</t>
  </si>
  <si>
    <t>โครงการส่งเสริมการใช้ประโยชน์จากงานวิจัยและนวัตกรรม</t>
  </si>
  <si>
    <t>โครงการผู้บริหารพบบุคลากร คณะวิทยาศาสตร์การแพทย์</t>
  </si>
  <si>
    <t>โครงการรดน้ำดำหัว ประเพณีสงกรานต์</t>
  </si>
  <si>
    <t>โครงการส่งเสริมสุขภาพจิต</t>
  </si>
  <si>
    <t xml:space="preserve">โครงการ แข่งขันกีฬาบุคลากรมหาวิทยาลัยพะเยา (UP Sport Day) </t>
  </si>
  <si>
    <t>โครงการพิธีไหว้ครูและรับขวัญน้องใหม</t>
  </si>
  <si>
    <t>โครงการ Next step: Med Sci</t>
  </si>
  <si>
    <t>เครื่องตรวจคลื่นไฟฟ้าหัวใจ</t>
  </si>
  <si>
    <t>ค่าติดม่าน ห้องพักอาจารย์จุล 2100</t>
  </si>
  <si>
    <t>ค่าติดผ้าม่าน</t>
  </si>
  <si>
    <t>ไปเปรต เครื่องปั่นเหวี่ยง</t>
  </si>
  <si>
    <t>ตู้แช่ 1 ไมโคเวฟ 2</t>
  </si>
  <si>
    <t xml:space="preserve"> ชีวเคมี 1 รายการตู้เย็น
จุล  2 รายการ</t>
  </si>
  <si>
    <t>สรีระ 1 รายการ
ชีวเคมี 2 รายการ
จุล 1 รายการ
กายวิภาค 3 รายการ</t>
  </si>
  <si>
    <t>โครงการปฐมนิเทศนิสิตใหม่คณะวิทยาศาสตร์การแพทย์</t>
  </si>
  <si>
    <t xml:space="preserve">โครงการสิริปีใหม่ รวมใจทำบุญ คณะวิทยาศาสตร์การแพทย์ </t>
  </si>
  <si>
    <t>โครงการปัจฉิมนิเทศ</t>
  </si>
  <si>
    <t>อว.7334/ 3218 อ.ศศิวิมล</t>
  </si>
  <si>
    <t>อว.7334/3221 อ.ธี</t>
  </si>
  <si>
    <t>อว 7334/3215 อ.สิทธิศักดิ์</t>
  </si>
  <si>
    <t>อว.7334/3008 อ.มารุต</t>
  </si>
  <si>
    <t>เครื่องเซนติฟิว </t>
  </si>
  <si>
    <t>ครุภัณฑ์การศึกษา ประจำปี 2569 (รายได้) bidding</t>
  </si>
  <si>
    <t>ปิเปต เครื่องปั่นเหวี่ยง</t>
  </si>
  <si>
    <t>ตู้เย็น 3 เครื่อง ยกเลิก</t>
  </si>
  <si>
    <t>ประมาณการ  งบผลิตพยาบาลเพิ่มปีงบประมาณ 2569</t>
  </si>
  <si>
    <t>กายวิภาคศาสตร์</t>
  </si>
  <si>
    <t>คอมพิวเตอร์</t>
  </si>
  <si>
    <t>ครุภัณฑ์คอมพิวเตอร์</t>
  </si>
  <si>
    <t>จ้างเหมาทำ plastination</t>
  </si>
  <si>
    <t xml:space="preserve"> จัดทำวิดิทัศน์แนะนำเจ้าภาพ AAT49</t>
  </si>
  <si>
    <t>งบประมาณรวม</t>
  </si>
  <si>
    <t>โครงการปัจฉิมนิเทศหลักสูตรโภชนาการ</t>
  </si>
  <si>
    <t xml:space="preserve">ค่าวัสดุวิทยาศาสตร์หรือการแพทย์ </t>
  </si>
  <si>
    <t xml:space="preserve">ครุภัณฑ์สำนักงาน </t>
  </si>
  <si>
    <t>เครื่องฟอกอากาศ 2 เครื่อง</t>
  </si>
  <si>
    <t>ค่าจัดประชุม</t>
  </si>
  <si>
    <t>ไส้กรองอากาศ</t>
  </si>
  <si>
    <t xml:space="preserve"> จัดทำวิดิทัศน์แนะนำสาขากายวิภาค</t>
  </si>
  <si>
    <t>โครงการพัฒนาศักยภาพบุคลากรด้านกายวิภาคศาสตร์</t>
  </si>
  <si>
    <t>จัดรวมคณะฯ</t>
  </si>
  <si>
    <t>เครื่องตรวจคลื่นไฟฟ้าหัวใจ (ซื้อแล้ว)</t>
  </si>
  <si>
    <t>โอนรอบ 3  182,596.88
1. ชุดเตรียมตัวอย่าง 132546.88
2.เครื่อวัดแรงบีบมือ 26,400
3.เครื่องวัดความอ่อนตัว 23,650</t>
  </si>
  <si>
    <t>ครุภัณฑ์โฆษณษและเผยแพร่</t>
  </si>
  <si>
    <t>ปริ้นเตอร์ 5,000</t>
  </si>
  <si>
    <t>ชุดไมค์และลำโพง 40,000</t>
  </si>
  <si>
    <t>โอนรอบ 3 26-6-69</t>
  </si>
  <si>
    <t xml:space="preserve">1. กล้องจุลทรรศน์ สำหรับงานวิจัย  385,000 บาท
2. หุ่นจำลองโครงกระดูก  95,000 บาท
3. หุ่นจำลองกระดูกสันหลัง 35,000 บาท               
 4. โคมไฟผ่าตัด 80000 lux  140,000  บาท                                           </t>
  </si>
  <si>
    <t>โอนหมวด 26-6-69 รายการ 2 
1.เครื่องพิมพ์ Multifunction แบบหมึกพร้อมติดตั้งถังหมึกพิมพ์
2.เครื่องอ่านบาร์โค้ด</t>
  </si>
  <si>
    <t>โอนหมวด 26-6-69
1.สแตนที่นั่ง</t>
  </si>
  <si>
    <t>โอนหมวด 26-6-69
1.งานบ้านงานครัว</t>
  </si>
  <si>
    <t xml:space="preserve">โอนหมวด 26-6-69 ครุภัณฑ์การศึกษา 107,800
1.เครื่องนึ่งฆ่าเชื้อ ขนาดไม่น้อยกว่า 30 ลิตร (Autocalve) 
2.เครื่องดูดจ่ายสารละลายอัตโนมัติชนิด8 ช่อง </t>
  </si>
  <si>
    <t>งบประมาณในการพัฒนาตนเอง ประจำปีงบประมาณ 2569</t>
  </si>
  <si>
    <t>ชื่ออาจารย์</t>
  </si>
  <si>
    <t>รายการเดินทาง</t>
  </si>
  <si>
    <t>จำนวนเงินครั้งที่ 1</t>
  </si>
  <si>
    <t>จำนวนเงินครั้งที่ 2</t>
  </si>
  <si>
    <t>จำนวนเงินครั้งที่ 3</t>
  </si>
  <si>
    <t>รวมงบที่ใช้</t>
  </si>
  <si>
    <t>งบประมาณคงเหลือ</t>
  </si>
  <si>
    <t>อว 7334/ อ้างอิง</t>
  </si>
  <si>
    <t>วันที่เอกสาร</t>
  </si>
  <si>
    <t>งบประมาณตั้งต้นปี ค่าเบี้ยเลี้ยง ที่พัก และพาหนะ</t>
  </si>
  <si>
    <t>อ.กานต์รวี ขยัน</t>
  </si>
  <si>
    <t>เข้าร่วมงานประชุมวิชาการ The 20th Asia Pacific Congress of Clinical Microbiology and Infection (APCCMI 2025) ในระหว่างวันที่ 2 - 4 พฤศจิกายน 2568</t>
  </si>
  <si>
    <t>2/10/2568</t>
  </si>
  <si>
    <t>อ.อนงค์ คิดดี</t>
  </si>
  <si>
    <t xml:space="preserve">1. โครงการประชุมวิชาการพะเยาวิจัย ครั้งที่ 15 
2.เพื่อเข้าร่วมอบรม "จุลินทรีย์ก่อโรคที่เกี่ยวข้องกับอาหารและการควบคุม" ในวันที่ 29 พฤษภาคม 2569 </t>
  </si>
  <si>
    <t>12/12/2568</t>
  </si>
  <si>
    <t>อ.อัจฉริยา ยศบุญเรือง</t>
  </si>
  <si>
    <t>1. โครงการประชุมวิชาการพะเยาวิจัย ครั้งที่ 15 
2.เพื่อเข้าร่วมอบรม "จุลินทรีย์ก่อโรคที่เกี่ยวข้องกับอาหารและการควบคุม" ในวันที่ 29 พฤษภาคม 2570</t>
  </si>
  <si>
    <t>3974, 1478</t>
  </si>
  <si>
    <t>ผศ.ดร.นิศรา บุญเกิด</t>
  </si>
  <si>
    <t xml:space="preserve">เข้าร่วมงานวันสหกิจศึกษาบูรณาการกับการทำงาน ครั้งที่ 16 ประจำปี 2569 </t>
  </si>
  <si>
    <t>1420</t>
  </si>
  <si>
    <t>11/5/2569</t>
  </si>
  <si>
    <t>ผศ.ดร.ศิริลักษณ์ สันพา</t>
  </si>
  <si>
    <t>1. เเข้าร่วมงานการประชุมวิชาการอนุกรมวิธานและซิสเทมาติคส์ในประเทศไทย ครั้งที่ 14 ในวันที่ 6-8 พฤษภาคม  2569 ณ มหาวิทยาลัยพะเยา 
2.ข้าร่วมประชุมวิชาการระดับชาติพะเยาวิจัย ครั้งที่ 15 ในวันที่ 26-27 มกราคม 2569 ณ มหาวิทยาลัยพะเยา 
3.เพื่อเข้ารวมงานประชุม "มหกรรมงานวิจัยแห่งชาติ 2569 (Thailand Research Expo 2026)" ระหว่างวันที่ 22 – 26 มิถุนายน 2569</t>
  </si>
  <si>
    <t>0717 ,0116,1537</t>
  </si>
  <si>
    <t>5/3/2569</t>
  </si>
  <si>
    <t>12/1/2569</t>
  </si>
  <si>
    <t>ผศ.ดร.ศิริกาญจน์ สันพา</t>
  </si>
  <si>
    <t>1. เข้าร่วมงานการประชุมวิชาการอนุกรมวิธานและซิสเทมาติคส์ในประเทศไทย ครั้งที่ 14 ในวันที่ 6-8 พฤษภาคม  2569 ณ มหาวิทยาลัยพะเยา
2.เข้าร่วมประชุมวิชาการระดับชาติพะเยาวิจัย ครั้งที่ 15 ในวันที่ 26-27 มกราคม 2569 ณ มหาวิทยาลัยพะเยา
3.เพื่อเข้ารวมงานประชุม "มหกรรมงานวิจัยแห่งชาติ 2569 (Thailand Research Expo 2026)" ระหว่างวันที่ 22 – 26 มิถุนายน 2570</t>
  </si>
  <si>
    <t>0716,0115,1537</t>
  </si>
  <si>
    <t>20/5/2569</t>
  </si>
  <si>
    <t>ผศ.ดร.ธิดา ไชยวังศรี</t>
  </si>
  <si>
    <t>1. เข้าร่วมงานการประชุมวิชาการอนุกรมวิธานและซิสเทมาติคส์ในประเทศไทย ครั้งที่ 14 ในวันที่ 6-8 พฤษภาคม  2569 ณ มหาวิทยาลัยพะเยา
2.เข้าร่วมประชุมวิชาการระดับชาติพะเยาวิจัย ครั้งที่ 15 ในวันที่ 26-27 มกราคม 2569 ณ มหาวิทยาลัยพะเยา</t>
  </si>
  <si>
    <t>0737,3556</t>
  </si>
  <si>
    <t>6/3/2569</t>
  </si>
  <si>
    <t>7/11/2569</t>
  </si>
  <si>
    <t>อ.กฤษณา พุกอินทร์</t>
  </si>
  <si>
    <t>เข้าร่วมประชุมวิชาการระดับชาติพะเยาวิจัย ครั้งที่ 15 ในวันที่ 26-27 มกราคม 2569 ณ มหาวิทยาลัยพะเยา</t>
  </si>
  <si>
    <t>0780</t>
  </si>
  <si>
    <t>12/3/2569</t>
  </si>
  <si>
    <t>นางสาวช่อผกา พวงศรี</t>
  </si>
  <si>
    <t>1.เข้าร่วมการประชุมวิชาการสมาคมปรสิตวิทยา ในระหว่างวันที่ 7-8 พฤษภาคม พ.ศ.2569 
2. โครงการพัฒนาศักยภาพสายสนับสนุน</t>
  </si>
  <si>
    <t>0996</t>
  </si>
  <si>
    <t>2/4/2569</t>
  </si>
  <si>
    <t>2000 พัฒนาศักยภาพสายสนับสนุน</t>
  </si>
  <si>
    <t>อ.อรอำไพ จ่าภา</t>
  </si>
  <si>
    <t>เข้าร่วมการประชุมวิชาการสมาคมปรสิตวิทยา ในระหว่างวันที่ 7-8 พฤษภาคม พ.ศ.2569</t>
  </si>
  <si>
    <t>ผศ.ดร.กฤตปภัช</t>
  </si>
  <si>
    <t>เข้าร่วมงานประชุมวิชาการสมาคมปรสิตวิทยาและอายุรศาสตร์เขตร้อนแห่งประเทศไทย ประจำปี 2569 ในวันที่ 7-8 พฤษภาคม 2569</t>
  </si>
  <si>
    <t>1121</t>
  </si>
  <si>
    <t>10/4/2569</t>
  </si>
  <si>
    <t>ผศ.ดร.ธัชพล เมธารัชกุล</t>
  </si>
  <si>
    <t>เข้าร่วมงานประชุมวิชาการสมาคมปรสิตวิทยาและอายุรศาสตร์เขตร้อนแห่งประเทศไทย ประจำปี 2569 ในวันที่ 7-8 พฤษภาคม 2570</t>
  </si>
  <si>
    <t>1122</t>
  </si>
  <si>
    <t>10/4/2570</t>
  </si>
  <si>
    <t>แจ้งยกเลิกเอกสารเอกสารซ้ำ</t>
  </si>
  <si>
    <t>อ.สรวิชญ์ อุปคุตฆ์</t>
  </si>
  <si>
    <t>โครงการอบรมเชิงปฏิบัติการหลักสูตรคณาจารย์นิเทศ ฉบับปรับปรุง พ.ศ. 2566 ระหว่างวันที่ 18-19 มิถุนายน 2569</t>
  </si>
  <si>
    <t>1242</t>
  </si>
  <si>
    <t>27/4/2569</t>
  </si>
  <si>
    <t>อ.เชิญขวัญ เค้าฝ้าย</t>
  </si>
  <si>
    <t>เพื่อเข้าร่วมโครงการอบรมเชิงปฏิบัติการหลักสูตรคณาจารย์นิเทศ ระหว่างวันที่ 18-19 มิถุนายน 2569</t>
  </si>
  <si>
    <t>1298</t>
  </si>
  <si>
    <t>30/4/2569</t>
  </si>
  <si>
    <t>นางสาววาสนา เมืองวงค์</t>
  </si>
  <si>
    <t xml:space="preserve">1. พัฒนาศักยภาพสายสนับสนุน
2.การประชุมวิชาการระดับชาติ ที่ประชุมสภาข้าราชการ พนักงานและลูกจ้างมหาวิทยาลัยแห่งประเทศไทย (ปขมท.) ประจำปี พ.ศ. 2569 “วัฒนธรรมการทำางานร่วมสมัย : ก้าวไปข้างหน้าอย่างสมาร์ทและยั่งยืน” </t>
  </si>
  <si>
    <t>ผศ.ดร.กฤษณะ คู่เทียม</t>
  </si>
  <si>
    <t>0797</t>
  </si>
  <si>
    <t>13/3/2569</t>
  </si>
  <si>
    <t>ผศ.ดร.จิตรกุล สุวรรณเจริญ</t>
  </si>
  <si>
    <t>1.เข้าร่วมประชุมวิชาการระดับชาติพะเยาวิจัย ครั้งที่ 15 ในวันที่ 26-27 มกราคม 2569 ณ มหาวิทยาลัยพะเยา
2.เข้าร่วมการประชุมวิชาการสมาคมปรสิตวิทยา ในระหว่างวันที่ 7-8 พฤษภาคม พ.ศ.2569</t>
  </si>
  <si>
    <t>0781</t>
  </si>
  <si>
    <t>รศ.ดร.อัญชลี ระวังการ</t>
  </si>
  <si>
    <t>ร่วมประชุมวิชาการเชิงปฏิบัติการของสมาคมไวรัสวิทยา (ประเทศไทย) ในกรอบหัวข้อ "Beyond Borders: Readiness and Response for Influenza and Other Emerging Infections Diseases" ในระหว่างวันที่ 22-24 มิถุนายน 2569</t>
  </si>
  <si>
    <t>19/5/2569</t>
  </si>
  <si>
    <t>ผศ.ดร.อชิรญา ศิริภาพ</t>
  </si>
  <si>
    <t xml:space="preserve">เพื่อเข้าร่วมอบรม "จุลินทรีย์ก่อโรคที่เกี่ยวข้องกับอาหารและการควบคุม" ในวันที่ 29 พฤษภาคม 2569 </t>
  </si>
  <si>
    <t>1478-3973</t>
  </si>
  <si>
    <t>15/5/2569</t>
  </si>
  <si>
    <t>นายทศพล สมบรูณ์</t>
  </si>
  <si>
    <t>โครงการพัฒนาศักยภาพสายสนับสนุน</t>
  </si>
  <si>
    <t>นางสาวพรรณราย ภิบาลภักดี</t>
  </si>
  <si>
    <t>นางสาวทัดดาว อินทรประสิทธิ์</t>
  </si>
  <si>
    <t>นางสาวขวัญหล้า แสนสุภา</t>
  </si>
  <si>
    <t>พาเด็กไปดูงานดอกคำใต้</t>
  </si>
  <si>
    <t>24/9/69</t>
  </si>
  <si>
    <t>รวมเงิน</t>
  </si>
  <si>
    <r>
      <t xml:space="preserve"> </t>
    </r>
    <r>
      <rPr>
        <sz val="18"/>
        <color rgb="FFFF0000"/>
        <rFont val="TH SarabunPSK"/>
        <family val="2"/>
      </rPr>
      <t>เงินเหลือ รด 30,000 พยาบาล 1,820</t>
    </r>
  </si>
  <si>
    <t>โต๊ะพร้อมเก้าอี้ 15,000
โต๊ะบาร์ 2 ชุด 11,600</t>
  </si>
  <si>
    <t>โอนหมวด 26-6-69 78,000
1. เครื่องจ่ายกระแสไฟฟ้าแยกโปรตีน 44940
2. เครื่องผสมสารแบบเขย่าซ้าย-ขวา 33050</t>
  </si>
  <si>
    <t>ครุภัณฑ์โฆษณาและเผยแพร่</t>
  </si>
  <si>
    <t>ชุดลำโพงภาคสนาม 20,000</t>
  </si>
  <si>
    <t>เครื่องวัดความเค็ม และเครื่องวัดความหวาน</t>
  </si>
  <si>
    <t>คอมพิวเตอร์โน๊ตบุ๊ค</t>
  </si>
  <si>
    <t>รับโอนเพิ่ม 20499.23</t>
  </si>
  <si>
    <t>รับโอนเพิ่ม 20000</t>
  </si>
  <si>
    <t>โอนหมวด</t>
  </si>
  <si>
    <t>รศ.ดร.คมศักดิ์ พินธะ</t>
  </si>
  <si>
    <t>อว 7334/1458</t>
  </si>
  <si>
    <t>อว 7334/3458</t>
  </si>
  <si>
    <t>นายอภิรักษ์ กาตาสาย</t>
  </si>
  <si>
    <t>อว 7334/1820</t>
  </si>
  <si>
    <t>รศ.ดร.พยุงศักดิ์ ตันติไพบูลย์วงศ์</t>
  </si>
  <si>
    <t>อว 7334/1846</t>
  </si>
  <si>
    <t xml:space="preserve">ผู้ช่วยศาสตราจารย์ ดร.อรดา ชุมภูคำ	</t>
  </si>
  <si>
    <t>ดร.ธนพัฒน์ แพ่งเกษร</t>
  </si>
  <si>
    <t>อว 7334/3487</t>
  </si>
  <si>
    <t xml:space="preserve">	31 ตุลาคม 2568</t>
  </si>
  <si>
    <t>อว 7334/3522</t>
  </si>
  <si>
    <t>อว 7334/3779</t>
  </si>
  <si>
    <t>อว 7334/3804</t>
  </si>
  <si>
    <t>รศ.ดร.วิทยา ชัยวังเย็น</t>
  </si>
  <si>
    <t xml:space="preserve">	อว 7334/3805</t>
  </si>
  <si>
    <t>ผศ.ดร.กนกกาญจน์ พรหมน้อย</t>
  </si>
  <si>
    <t>อว 7334/3827</t>
  </si>
  <si>
    <t xml:space="preserve">	27 พฤศจิกายน 2568</t>
  </si>
  <si>
    <t xml:space="preserve">	อว 7334/3970</t>
  </si>
  <si>
    <t>ผศ.ดร.อำนาจ อ่อนสอาด</t>
  </si>
  <si>
    <t>ดร.วชิราภรณ์ ทิพย์สุวรรณ</t>
  </si>
  <si>
    <t>อว 7334/4095</t>
  </si>
  <si>
    <t>ผศ.ดร.อาทิตย์ ทิมอ่วม</t>
  </si>
  <si>
    <t xml:space="preserve">	24 ธันวาคม 2568</t>
  </si>
  <si>
    <t xml:space="preserve">	อว 7334/0483</t>
  </si>
  <si>
    <t xml:space="preserve">	13 กุมภาพันธ์ 2569</t>
  </si>
  <si>
    <t xml:space="preserve">	ผู้ช่วยศาสตราจารย์ ดร.ธีรภัทร ศรีรัตนโชติ</t>
  </si>
  <si>
    <t xml:space="preserve">	อว 7334/0624</t>
  </si>
  <si>
    <t>อว 7334/0625</t>
  </si>
  <si>
    <t>26 กุมภา 69</t>
  </si>
  <si>
    <t>27 กุมภา 69</t>
  </si>
  <si>
    <t>เดินทางเข้าร่วมพัฒนาศักยภาพนักวิจัยรุ่นใหม่</t>
  </si>
  <si>
    <t>โอนสมทบเงินกิจกรรม อ.อ้อม 8000</t>
  </si>
  <si>
    <t>โอนสมทบเงินโครงการ อ.อ้อม 4,000</t>
  </si>
  <si>
    <t>กิจกรรมนอกแผน อ.อ้อม 52000</t>
  </si>
  <si>
    <t>ซ่อมจอ  + ซ่อมระบบไฟโต๊ะ 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</si>
</sst>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(* #,##0.00_);_(* \(#,##0.00\);_(* &quot;-&quot;??_);_(@_)"/>
    <numFmt numFmtId="188" formatCode="_-* #,##0_-;\-* #,##0_-;_-* &quot;-&quot;??_-;_-@_-"/>
  </numFmts>
  <fonts count="4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b/>
      <sz val="18"/>
      <color theme="1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8"/>
      <name val="TH SarabunPSK"/>
      <family val="2"/>
    </font>
    <font>
      <sz val="18"/>
      <color theme="3"/>
      <name val="TH SarabunPSK"/>
      <family val="2"/>
    </font>
    <font>
      <b/>
      <sz val="18"/>
      <color rgb="FF000000"/>
      <name val="TH SarabunPSK"/>
      <family val="2"/>
    </font>
    <font>
      <b/>
      <sz val="18"/>
      <color theme="1"/>
      <name val="TH Niramit AS"/>
    </font>
    <font>
      <sz val="18"/>
      <color theme="1"/>
      <name val="TH Niramit AS"/>
    </font>
    <font>
      <sz val="18"/>
      <color rgb="FFFF0000"/>
      <name val="TH SarabunPSK"/>
      <family val="2"/>
    </font>
    <font>
      <b/>
      <sz val="15"/>
      <color theme="1"/>
      <name val="TH Niramit AS"/>
    </font>
    <font>
      <b/>
      <sz val="15"/>
      <name val="TH Niramit AS"/>
    </font>
    <font>
      <sz val="15"/>
      <color theme="1"/>
      <name val="TH Niramit AS"/>
    </font>
    <font>
      <sz val="15"/>
      <name val="TH Niramit AS"/>
    </font>
    <font>
      <sz val="15"/>
      <color theme="3"/>
      <name val="TH Niramit AS"/>
    </font>
    <font>
      <sz val="15"/>
      <color rgb="FFFF0000"/>
      <name val="TH Niramit AS"/>
    </font>
    <font>
      <sz val="15"/>
      <name val="TH SarabunPSK"/>
      <family val="2"/>
      <charset val="222"/>
    </font>
    <font>
      <sz val="15"/>
      <color rgb="FFFF0000"/>
      <name val="TH SarabunPSK"/>
      <family val="2"/>
      <charset val="222"/>
    </font>
    <font>
      <sz val="14"/>
      <color theme="1"/>
      <name val="Angsana New"/>
      <family val="1"/>
    </font>
    <font>
      <sz val="16"/>
      <color theme="1"/>
      <name val="TH Niramit AS"/>
    </font>
    <font>
      <sz val="16"/>
      <color rgb="FF0A0A0A"/>
      <name val="TH Niramit AS"/>
    </font>
    <font>
      <b/>
      <sz val="16"/>
      <color theme="1"/>
      <name val="TH Niramit AS"/>
    </font>
    <font>
      <sz val="8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name val="TH Niramit AS"/>
    </font>
    <font>
      <sz val="11"/>
      <color theme="1"/>
      <name val="TH Niramit AS"/>
    </font>
    <font>
      <sz val="16"/>
      <name val="TH Niramit AS"/>
    </font>
    <font>
      <sz val="16"/>
      <color rgb="FFFF0000"/>
      <name val="TH Niramit AS"/>
    </font>
    <font>
      <sz val="11"/>
      <color rgb="FFFF0000"/>
      <name val="TH Niramit AS"/>
    </font>
    <font>
      <sz val="18"/>
      <color rgb="FF000000"/>
      <name val="TH SarabunPSK"/>
      <family val="2"/>
    </font>
    <font>
      <b/>
      <sz val="24"/>
      <color theme="1"/>
      <name val="TH SarabunPSK"/>
      <family val="2"/>
    </font>
    <font>
      <b/>
      <sz val="22"/>
      <color theme="1"/>
      <name val="TH SarabunPSK"/>
      <family val="2"/>
    </font>
    <font>
      <sz val="16"/>
      <color rgb="FFFF0000"/>
      <name val="TH SarabunPSK"/>
      <family val="2"/>
    </font>
    <font>
      <sz val="18"/>
      <color theme="4" tint="-0.249977111117893"/>
      <name val="TH SarabunPSK"/>
      <family val="2"/>
    </font>
    <font>
      <b/>
      <sz val="18"/>
      <name val="TH Niramit AS"/>
    </font>
    <font>
      <sz val="18"/>
      <name val="TH Niramit AS"/>
    </font>
    <font>
      <sz val="18"/>
      <color rgb="FFFF0000"/>
      <name val="TH Niramit AS"/>
    </font>
    <font>
      <sz val="14"/>
      <color rgb="FFFF0000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12"/>
      <color theme="1"/>
      <name val="Angsana New"/>
      <family val="1"/>
    </font>
    <font>
      <sz val="16"/>
      <color rgb="FF333333"/>
      <name val="Angsana New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3" fontId="9" fillId="2" borderId="1" xfId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49" fontId="9" fillId="2" borderId="1" xfId="0" applyNumberFormat="1" applyFont="1" applyFill="1" applyBorder="1" applyAlignment="1">
      <alignment horizontal="left" vertical="center" wrapText="1"/>
    </xf>
    <xf numFmtId="43" fontId="9" fillId="2" borderId="0" xfId="1" applyFont="1" applyFill="1" applyBorder="1" applyAlignment="1">
      <alignment vertical="center"/>
    </xf>
    <xf numFmtId="43" fontId="9" fillId="2" borderId="0" xfId="1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43" fontId="9" fillId="2" borderId="1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 wrapText="1"/>
    </xf>
    <xf numFmtId="4" fontId="9" fillId="2" borderId="1" xfId="0" applyNumberFormat="1" applyFont="1" applyFill="1" applyBorder="1" applyAlignment="1">
      <alignment horizontal="right" vertical="center" wrapText="1"/>
    </xf>
    <xf numFmtId="49" fontId="9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center" wrapText="1"/>
    </xf>
    <xf numFmtId="43" fontId="9" fillId="2" borderId="1" xfId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/>
    </xf>
    <xf numFmtId="43" fontId="3" fillId="0" borderId="1" xfId="1" applyFont="1" applyFill="1" applyBorder="1" applyAlignment="1">
      <alignment vertical="center"/>
    </xf>
    <xf numFmtId="43" fontId="7" fillId="2" borderId="1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43" fontId="5" fillId="0" borderId="0" xfId="1" applyFont="1" applyFill="1" applyBorder="1" applyAlignment="1">
      <alignment vertical="center"/>
    </xf>
    <xf numFmtId="43" fontId="5" fillId="0" borderId="0" xfId="1" applyFont="1" applyFill="1" applyAlignment="1">
      <alignment vertical="center"/>
    </xf>
    <xf numFmtId="43" fontId="10" fillId="2" borderId="1" xfId="1" applyFont="1" applyFill="1" applyBorder="1" applyAlignment="1">
      <alignment vertical="center"/>
    </xf>
    <xf numFmtId="43" fontId="10" fillId="0" borderId="1" xfId="1" applyFont="1" applyFill="1" applyBorder="1" applyAlignment="1">
      <alignment vertical="center"/>
    </xf>
    <xf numFmtId="43" fontId="10" fillId="2" borderId="1" xfId="1" applyFont="1" applyFill="1" applyBorder="1" applyAlignment="1">
      <alignment vertical="center" wrapText="1"/>
    </xf>
    <xf numFmtId="43" fontId="9" fillId="2" borderId="2" xfId="1" applyFont="1" applyFill="1" applyBorder="1" applyAlignment="1">
      <alignment horizontal="center" vertical="center" wrapText="1"/>
    </xf>
    <xf numFmtId="43" fontId="9" fillId="2" borderId="1" xfId="1" applyFont="1" applyFill="1" applyBorder="1" applyAlignment="1">
      <alignment horizontal="center" vertical="center"/>
    </xf>
    <xf numFmtId="43" fontId="9" fillId="3" borderId="1" xfId="1" applyFont="1" applyFill="1" applyBorder="1" applyAlignment="1">
      <alignment vertical="center"/>
    </xf>
    <xf numFmtId="43" fontId="9" fillId="3" borderId="1" xfId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 wrapText="1"/>
    </xf>
    <xf numFmtId="49" fontId="10" fillId="0" borderId="1" xfId="0" applyNumberFormat="1" applyFont="1" applyBorder="1" applyAlignment="1">
      <alignment horizontal="left" wrapText="1"/>
    </xf>
    <xf numFmtId="0" fontId="10" fillId="2" borderId="1" xfId="0" applyFont="1" applyFill="1" applyBorder="1" applyAlignment="1">
      <alignment wrapText="1"/>
    </xf>
    <xf numFmtId="0" fontId="8" fillId="2" borderId="0" xfId="0" applyFont="1" applyFill="1"/>
    <xf numFmtId="49" fontId="9" fillId="0" borderId="1" xfId="0" applyNumberFormat="1" applyFont="1" applyBorder="1" applyAlignment="1">
      <alignment horizontal="left" wrapText="1"/>
    </xf>
    <xf numFmtId="43" fontId="9" fillId="0" borderId="1" xfId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43" fontId="9" fillId="2" borderId="1" xfId="1" applyFont="1" applyFill="1" applyBorder="1" applyAlignment="1">
      <alignment vertical="center" wrapText="1"/>
    </xf>
    <xf numFmtId="4" fontId="9" fillId="2" borderId="0" xfId="0" applyNumberFormat="1" applyFont="1" applyFill="1" applyAlignment="1">
      <alignment vertical="center"/>
    </xf>
    <xf numFmtId="187" fontId="9" fillId="2" borderId="0" xfId="0" applyNumberFormat="1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vertical="center"/>
    </xf>
    <xf numFmtId="4" fontId="1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vertical="center"/>
    </xf>
    <xf numFmtId="0" fontId="13" fillId="0" borderId="0" xfId="0" applyFont="1"/>
    <xf numFmtId="0" fontId="12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3" fillId="0" borderId="1" xfId="0" applyFont="1" applyBorder="1"/>
    <xf numFmtId="43" fontId="13" fillId="0" borderId="1" xfId="1" applyFont="1" applyBorder="1"/>
    <xf numFmtId="43" fontId="12" fillId="0" borderId="1" xfId="1" applyFont="1" applyBorder="1"/>
    <xf numFmtId="0" fontId="12" fillId="6" borderId="1" xfId="0" applyFont="1" applyFill="1" applyBorder="1" applyAlignment="1">
      <alignment horizontal="center"/>
    </xf>
    <xf numFmtId="43" fontId="12" fillId="6" borderId="1" xfId="1" applyFont="1" applyFill="1" applyBorder="1"/>
    <xf numFmtId="43" fontId="13" fillId="7" borderId="1" xfId="1" applyFont="1" applyFill="1" applyBorder="1"/>
    <xf numFmtId="43" fontId="14" fillId="2" borderId="1" xfId="1" applyFont="1" applyFill="1" applyBorder="1" applyAlignment="1">
      <alignment vertical="center"/>
    </xf>
    <xf numFmtId="43" fontId="14" fillId="2" borderId="1" xfId="1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center" vertical="center"/>
    </xf>
    <xf numFmtId="43" fontId="16" fillId="2" borderId="2" xfId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43" fontId="15" fillId="2" borderId="1" xfId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/>
    </xf>
    <xf numFmtId="43" fontId="18" fillId="2" borderId="1" xfId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43" fontId="17" fillId="2" borderId="1" xfId="1" applyFont="1" applyFill="1" applyBorder="1" applyAlignment="1">
      <alignment vertical="center"/>
    </xf>
    <xf numFmtId="43" fontId="17" fillId="2" borderId="1" xfId="0" applyNumberFormat="1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43" fontId="18" fillId="2" borderId="1" xfId="1" applyFont="1" applyFill="1" applyBorder="1" applyAlignment="1">
      <alignment vertical="center"/>
    </xf>
    <xf numFmtId="49" fontId="18" fillId="2" borderId="1" xfId="0" applyNumberFormat="1" applyFont="1" applyFill="1" applyBorder="1" applyAlignment="1">
      <alignment horizontal="left" wrapText="1"/>
    </xf>
    <xf numFmtId="43" fontId="18" fillId="2" borderId="1" xfId="0" applyNumberFormat="1" applyFont="1" applyFill="1" applyBorder="1" applyAlignment="1">
      <alignment vertical="center"/>
    </xf>
    <xf numFmtId="43" fontId="18" fillId="2" borderId="1" xfId="1" applyFont="1" applyFill="1" applyBorder="1" applyAlignment="1">
      <alignment vertical="top"/>
    </xf>
    <xf numFmtId="43" fontId="18" fillId="2" borderId="1" xfId="1" applyFont="1" applyFill="1" applyBorder="1" applyAlignment="1">
      <alignment vertical="top" wrapText="1"/>
    </xf>
    <xf numFmtId="49" fontId="18" fillId="2" borderId="1" xfId="0" applyNumberFormat="1" applyFont="1" applyFill="1" applyBorder="1" applyAlignment="1">
      <alignment horizontal="left" vertical="center" wrapText="1"/>
    </xf>
    <xf numFmtId="0" fontId="17" fillId="2" borderId="0" xfId="0" applyFont="1" applyFill="1" applyAlignment="1">
      <alignment vertical="center" wrapText="1"/>
    </xf>
    <xf numFmtId="43" fontId="18" fillId="2" borderId="1" xfId="1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left" wrapText="1"/>
    </xf>
    <xf numFmtId="43" fontId="19" fillId="2" borderId="1" xfId="1" applyFont="1" applyFill="1" applyBorder="1" applyAlignment="1">
      <alignment vertical="center"/>
    </xf>
    <xf numFmtId="0" fontId="19" fillId="2" borderId="1" xfId="0" applyFont="1" applyFill="1" applyBorder="1" applyAlignment="1">
      <alignment horizontal="left"/>
    </xf>
    <xf numFmtId="49" fontId="19" fillId="2" borderId="1" xfId="0" applyNumberFormat="1" applyFont="1" applyFill="1" applyBorder="1" applyAlignment="1">
      <alignment horizontal="left" wrapText="1"/>
    </xf>
    <xf numFmtId="0" fontId="19" fillId="2" borderId="1" xfId="0" applyFont="1" applyFill="1" applyBorder="1" applyAlignment="1">
      <alignment wrapText="1"/>
    </xf>
    <xf numFmtId="43" fontId="19" fillId="2" borderId="1" xfId="1" applyFont="1" applyFill="1" applyBorder="1" applyAlignment="1">
      <alignment vertical="center" wrapText="1"/>
    </xf>
    <xf numFmtId="0" fontId="17" fillId="6" borderId="0" xfId="0" applyFont="1" applyFill="1" applyAlignment="1">
      <alignment vertical="center"/>
    </xf>
    <xf numFmtId="43" fontId="20" fillId="2" borderId="1" xfId="1" applyFont="1" applyFill="1" applyBorder="1" applyAlignment="1">
      <alignment vertical="center"/>
    </xf>
    <xf numFmtId="4" fontId="18" fillId="2" borderId="1" xfId="0" applyNumberFormat="1" applyFont="1" applyFill="1" applyBorder="1" applyAlignment="1">
      <alignment horizontal="right" vertical="center" wrapText="1"/>
    </xf>
    <xf numFmtId="49" fontId="18" fillId="2" borderId="1" xfId="0" applyNumberFormat="1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vertical="center" wrapText="1"/>
    </xf>
    <xf numFmtId="43" fontId="18" fillId="2" borderId="1" xfId="1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horizontal="left" vertical="center" wrapText="1"/>
    </xf>
    <xf numFmtId="43" fontId="21" fillId="2" borderId="1" xfId="1" applyFont="1" applyFill="1" applyBorder="1" applyAlignment="1">
      <alignment horizontal="right" vertical="center" wrapText="1"/>
    </xf>
    <xf numFmtId="43" fontId="22" fillId="2" borderId="1" xfId="1" applyFont="1" applyFill="1" applyBorder="1" applyAlignment="1">
      <alignment horizontal="right" vertical="center" wrapText="1"/>
    </xf>
    <xf numFmtId="0" fontId="17" fillId="4" borderId="0" xfId="0" applyFont="1" applyFill="1" applyAlignment="1">
      <alignment vertical="center"/>
    </xf>
    <xf numFmtId="0" fontId="17" fillId="8" borderId="0" xfId="0" applyFont="1" applyFill="1" applyAlignment="1">
      <alignment vertical="center"/>
    </xf>
    <xf numFmtId="0" fontId="17" fillId="2" borderId="1" xfId="0" applyFont="1" applyFill="1" applyBorder="1" applyAlignment="1">
      <alignment vertical="center" wrapText="1"/>
    </xf>
    <xf numFmtId="43" fontId="17" fillId="2" borderId="1" xfId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vertical="top"/>
    </xf>
    <xf numFmtId="0" fontId="17" fillId="0" borderId="0" xfId="0" applyFont="1" applyAlignment="1">
      <alignment vertical="center"/>
    </xf>
    <xf numFmtId="0" fontId="17" fillId="0" borderId="0" xfId="0" applyFont="1"/>
    <xf numFmtId="43" fontId="18" fillId="0" borderId="0" xfId="1" applyFont="1" applyFill="1" applyAlignment="1">
      <alignment vertical="center"/>
    </xf>
    <xf numFmtId="43" fontId="17" fillId="0" borderId="0" xfId="1" applyFont="1" applyFill="1" applyAlignment="1">
      <alignment vertical="center"/>
    </xf>
    <xf numFmtId="43" fontId="17" fillId="2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43" fontId="18" fillId="2" borderId="1" xfId="1" applyFont="1" applyFill="1" applyBorder="1" applyAlignment="1">
      <alignment horizontal="center" vertical="center" wrapText="1"/>
    </xf>
    <xf numFmtId="43" fontId="16" fillId="7" borderId="2" xfId="1" applyFont="1" applyFill="1" applyBorder="1" applyAlignment="1">
      <alignment horizontal="center" vertical="center" wrapText="1"/>
    </xf>
    <xf numFmtId="43" fontId="18" fillId="7" borderId="1" xfId="1" applyFont="1" applyFill="1" applyBorder="1" applyAlignment="1">
      <alignment horizontal="center" vertical="center"/>
    </xf>
    <xf numFmtId="43" fontId="18" fillId="7" borderId="1" xfId="1" applyFont="1" applyFill="1" applyBorder="1" applyAlignment="1">
      <alignment vertical="center"/>
    </xf>
    <xf numFmtId="43" fontId="18" fillId="7" borderId="1" xfId="1" applyFont="1" applyFill="1" applyBorder="1" applyAlignment="1">
      <alignment horizontal="right" vertical="center" wrapText="1"/>
    </xf>
    <xf numFmtId="43" fontId="18" fillId="7" borderId="1" xfId="1" applyFont="1" applyFill="1" applyBorder="1" applyAlignment="1">
      <alignment vertical="center" wrapText="1"/>
    </xf>
    <xf numFmtId="43" fontId="21" fillId="7" borderId="1" xfId="1" applyFont="1" applyFill="1" applyBorder="1" applyAlignment="1">
      <alignment horizontal="right" vertical="center" wrapText="1"/>
    </xf>
    <xf numFmtId="43" fontId="22" fillId="7" borderId="1" xfId="1" applyFont="1" applyFill="1" applyBorder="1" applyAlignment="1">
      <alignment horizontal="right" vertical="center" wrapText="1"/>
    </xf>
    <xf numFmtId="43" fontId="18" fillId="7" borderId="0" xfId="1" applyFont="1" applyFill="1" applyAlignment="1">
      <alignment vertical="center"/>
    </xf>
    <xf numFmtId="0" fontId="15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vertical="center"/>
    </xf>
    <xf numFmtId="43" fontId="18" fillId="9" borderId="1" xfId="1" applyFont="1" applyFill="1" applyBorder="1" applyAlignment="1">
      <alignment vertical="center"/>
    </xf>
    <xf numFmtId="0" fontId="17" fillId="9" borderId="1" xfId="0" applyFont="1" applyFill="1" applyBorder="1" applyAlignment="1">
      <alignment horizontal="center" vertical="center"/>
    </xf>
    <xf numFmtId="43" fontId="17" fillId="9" borderId="1" xfId="1" applyFont="1" applyFill="1" applyBorder="1" applyAlignment="1">
      <alignment horizontal="right" vertical="center"/>
    </xf>
    <xf numFmtId="0" fontId="17" fillId="9" borderId="0" xfId="0" applyFont="1" applyFill="1" applyAlignment="1">
      <alignment vertical="center"/>
    </xf>
    <xf numFmtId="43" fontId="16" fillId="10" borderId="2" xfId="1" applyFont="1" applyFill="1" applyBorder="1" applyAlignment="1">
      <alignment horizontal="center" vertical="center" wrapText="1"/>
    </xf>
    <xf numFmtId="43" fontId="18" fillId="10" borderId="1" xfId="1" applyFont="1" applyFill="1" applyBorder="1" applyAlignment="1">
      <alignment horizontal="center" vertical="center"/>
    </xf>
    <xf numFmtId="43" fontId="18" fillId="10" borderId="1" xfId="0" applyNumberFormat="1" applyFont="1" applyFill="1" applyBorder="1" applyAlignment="1">
      <alignment vertical="center"/>
    </xf>
    <xf numFmtId="43" fontId="18" fillId="10" borderId="1" xfId="1" applyFont="1" applyFill="1" applyBorder="1" applyAlignment="1">
      <alignment vertical="center"/>
    </xf>
    <xf numFmtId="43" fontId="18" fillId="10" borderId="1" xfId="0" applyNumberFormat="1" applyFont="1" applyFill="1" applyBorder="1" applyAlignment="1">
      <alignment horizontal="center" vertical="center"/>
    </xf>
    <xf numFmtId="43" fontId="18" fillId="10" borderId="1" xfId="1" applyFont="1" applyFill="1" applyBorder="1" applyAlignment="1">
      <alignment vertical="center" wrapText="1"/>
    </xf>
    <xf numFmtId="0" fontId="17" fillId="10" borderId="0" xfId="0" applyFont="1" applyFill="1" applyAlignment="1">
      <alignment vertical="center"/>
    </xf>
    <xf numFmtId="4" fontId="18" fillId="10" borderId="1" xfId="0" applyNumberFormat="1" applyFont="1" applyFill="1" applyBorder="1" applyAlignment="1">
      <alignment horizontal="right" vertical="center" wrapText="1"/>
    </xf>
    <xf numFmtId="43" fontId="18" fillId="10" borderId="1" xfId="1" applyFont="1" applyFill="1" applyBorder="1" applyAlignment="1">
      <alignment horizontal="left" vertical="center" wrapText="1"/>
    </xf>
    <xf numFmtId="43" fontId="18" fillId="10" borderId="0" xfId="1" applyFont="1" applyFill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wrapText="1"/>
    </xf>
    <xf numFmtId="43" fontId="19" fillId="4" borderId="1" xfId="1" applyFont="1" applyFill="1" applyBorder="1" applyAlignment="1">
      <alignment vertical="center"/>
    </xf>
    <xf numFmtId="43" fontId="18" fillId="4" borderId="1" xfId="1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43" fontId="17" fillId="4" borderId="1" xfId="1" applyFont="1" applyFill="1" applyBorder="1" applyAlignment="1">
      <alignment vertical="center"/>
    </xf>
    <xf numFmtId="43" fontId="17" fillId="4" borderId="1" xfId="0" applyNumberFormat="1" applyFont="1" applyFill="1" applyBorder="1" applyAlignment="1">
      <alignment vertical="center"/>
    </xf>
    <xf numFmtId="17" fontId="7" fillId="2" borderId="1" xfId="0" applyNumberFormat="1" applyFont="1" applyFill="1" applyBorder="1" applyAlignment="1">
      <alignment horizontal="center" vertical="center" wrapText="1"/>
    </xf>
    <xf numFmtId="17" fontId="9" fillId="2" borderId="2" xfId="1" applyNumberFormat="1" applyFont="1" applyFill="1" applyBorder="1" applyAlignment="1">
      <alignment horizontal="center" vertical="center" wrapText="1"/>
    </xf>
    <xf numFmtId="17" fontId="2" fillId="2" borderId="1" xfId="1" applyNumberFormat="1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4" fillId="0" borderId="1" xfId="0" applyFont="1" applyBorder="1"/>
    <xf numFmtId="43" fontId="24" fillId="0" borderId="1" xfId="1" applyFont="1" applyBorder="1"/>
    <xf numFmtId="0" fontId="25" fillId="0" borderId="1" xfId="0" applyFont="1" applyBorder="1" applyAlignment="1">
      <alignment horizontal="center"/>
    </xf>
    <xf numFmtId="0" fontId="24" fillId="0" borderId="1" xfId="0" applyFont="1" applyBorder="1" applyAlignment="1">
      <alignment vertical="center"/>
    </xf>
    <xf numFmtId="43" fontId="24" fillId="0" borderId="1" xfId="1" applyFont="1" applyBorder="1" applyAlignment="1">
      <alignment vertical="center"/>
    </xf>
    <xf numFmtId="0" fontId="24" fillId="0" borderId="1" xfId="0" applyFont="1" applyBorder="1" applyAlignment="1">
      <alignment vertical="center" wrapText="1"/>
    </xf>
    <xf numFmtId="43" fontId="26" fillId="0" borderId="0" xfId="1" applyFont="1"/>
    <xf numFmtId="17" fontId="3" fillId="0" borderId="1" xfId="1" quotePrefix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3" fontId="9" fillId="0" borderId="1" xfId="0" applyNumberFormat="1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/>
    <xf numFmtId="0" fontId="30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/>
    </xf>
    <xf numFmtId="43" fontId="26" fillId="0" borderId="1" xfId="1" applyFont="1" applyBorder="1" applyAlignment="1">
      <alignment horizontal="center"/>
    </xf>
    <xf numFmtId="0" fontId="32" fillId="0" borderId="1" xfId="0" applyFont="1" applyBorder="1" applyAlignment="1">
      <alignment horizontal="center" vertical="top"/>
    </xf>
    <xf numFmtId="49" fontId="32" fillId="0" borderId="1" xfId="0" applyNumberFormat="1" applyFont="1" applyBorder="1" applyAlignment="1">
      <alignment horizontal="left" vertical="top" wrapText="1"/>
    </xf>
    <xf numFmtId="43" fontId="32" fillId="0" borderId="1" xfId="1" applyFont="1" applyFill="1" applyBorder="1" applyAlignment="1">
      <alignment vertical="top" wrapText="1"/>
    </xf>
    <xf numFmtId="0" fontId="33" fillId="0" borderId="1" xfId="0" applyFont="1" applyBorder="1"/>
    <xf numFmtId="43" fontId="33" fillId="0" borderId="1" xfId="1" applyFont="1" applyBorder="1"/>
    <xf numFmtId="43" fontId="32" fillId="0" borderId="1" xfId="0" applyNumberFormat="1" applyFont="1" applyBorder="1"/>
    <xf numFmtId="0" fontId="34" fillId="0" borderId="0" xfId="0" applyFont="1"/>
    <xf numFmtId="43" fontId="32" fillId="0" borderId="1" xfId="1" applyFont="1" applyFill="1" applyBorder="1" applyAlignment="1">
      <alignment vertical="top"/>
    </xf>
    <xf numFmtId="0" fontId="35" fillId="11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vertical="top"/>
    </xf>
    <xf numFmtId="43" fontId="26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43" fontId="3" fillId="12" borderId="1" xfId="1" applyFont="1" applyFill="1" applyBorder="1" applyAlignment="1">
      <alignment vertical="center"/>
    </xf>
    <xf numFmtId="17" fontId="6" fillId="2" borderId="1" xfId="1" quotePrefix="1" applyNumberFormat="1" applyFont="1" applyFill="1" applyBorder="1" applyAlignment="1">
      <alignment horizontal="center" vertical="center" wrapText="1"/>
    </xf>
    <xf numFmtId="43" fontId="8" fillId="0" borderId="1" xfId="1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horizontal="left" vertical="center" wrapText="1"/>
    </xf>
    <xf numFmtId="43" fontId="8" fillId="2" borderId="1" xfId="1" applyFont="1" applyFill="1" applyBorder="1" applyAlignment="1">
      <alignment vertical="center"/>
    </xf>
    <xf numFmtId="43" fontId="6" fillId="2" borderId="1" xfId="1" applyFont="1" applyFill="1" applyBorder="1" applyAlignment="1">
      <alignment vertical="center"/>
    </xf>
    <xf numFmtId="43" fontId="8" fillId="2" borderId="1" xfId="1" applyFont="1" applyFill="1" applyBorder="1" applyAlignment="1">
      <alignment horizontal="right" vertical="center" wrapText="1"/>
    </xf>
    <xf numFmtId="43" fontId="6" fillId="0" borderId="1" xfId="1" applyFont="1" applyFill="1" applyBorder="1" applyAlignment="1">
      <alignment vertical="center"/>
    </xf>
    <xf numFmtId="43" fontId="8" fillId="2" borderId="0" xfId="1" applyFont="1" applyFill="1" applyBorder="1" applyAlignment="1">
      <alignment vertical="center"/>
    </xf>
    <xf numFmtId="43" fontId="37" fillId="2" borderId="0" xfId="1" applyFont="1" applyFill="1" applyBorder="1" applyAlignment="1">
      <alignment vertical="center"/>
    </xf>
    <xf numFmtId="43" fontId="8" fillId="2" borderId="0" xfId="1" applyFont="1" applyFill="1" applyAlignment="1">
      <alignment vertical="center"/>
    </xf>
    <xf numFmtId="49" fontId="8" fillId="0" borderId="1" xfId="0" applyNumberFormat="1" applyFont="1" applyBorder="1" applyAlignment="1">
      <alignment horizontal="left" vertical="center" wrapText="1"/>
    </xf>
    <xf numFmtId="43" fontId="8" fillId="0" borderId="1" xfId="1" applyFont="1" applyFill="1" applyBorder="1" applyAlignment="1">
      <alignment horizontal="right" vertical="center" wrapText="1"/>
    </xf>
    <xf numFmtId="43" fontId="7" fillId="0" borderId="1" xfId="0" applyNumberFormat="1" applyFont="1" applyBorder="1" applyAlignment="1">
      <alignment vertical="center"/>
    </xf>
    <xf numFmtId="43" fontId="7" fillId="2" borderId="1" xfId="0" applyNumberFormat="1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right" vertical="center" wrapText="1"/>
    </xf>
    <xf numFmtId="43" fontId="7" fillId="2" borderId="1" xfId="1" applyFont="1" applyFill="1" applyBorder="1" applyAlignment="1">
      <alignment horizontal="left" vertical="center" wrapText="1"/>
    </xf>
    <xf numFmtId="43" fontId="14" fillId="2" borderId="1" xfId="0" applyNumberFormat="1" applyFont="1" applyFill="1" applyBorder="1" applyAlignment="1">
      <alignment vertical="center"/>
    </xf>
    <xf numFmtId="43" fontId="38" fillId="0" borderId="1" xfId="1" applyFont="1" applyFill="1" applyBorder="1" applyAlignment="1">
      <alignment vertical="center"/>
    </xf>
    <xf numFmtId="43" fontId="39" fillId="2" borderId="1" xfId="0" applyNumberFormat="1" applyFont="1" applyFill="1" applyBorder="1" applyAlignment="1">
      <alignment vertical="center"/>
    </xf>
    <xf numFmtId="4" fontId="14" fillId="2" borderId="1" xfId="0" applyNumberFormat="1" applyFont="1" applyFill="1" applyBorder="1" applyAlignment="1">
      <alignment horizontal="right" vertical="center" wrapText="1"/>
    </xf>
    <xf numFmtId="0" fontId="40" fillId="0" borderId="1" xfId="0" applyFont="1" applyBorder="1" applyAlignment="1">
      <alignment horizontal="center" vertical="center"/>
    </xf>
    <xf numFmtId="43" fontId="40" fillId="0" borderId="1" xfId="1" applyFont="1" applyFill="1" applyBorder="1" applyAlignment="1">
      <alignment horizontal="center" vertical="center" wrapText="1"/>
    </xf>
    <xf numFmtId="43" fontId="40" fillId="0" borderId="5" xfId="1" applyFont="1" applyFill="1" applyBorder="1" applyAlignment="1">
      <alignment horizontal="center" vertical="center" wrapText="1"/>
    </xf>
    <xf numFmtId="17" fontId="40" fillId="0" borderId="5" xfId="1" applyNumberFormat="1" applyFont="1" applyFill="1" applyBorder="1" applyAlignment="1">
      <alignment horizontal="center" vertical="center" wrapText="1"/>
    </xf>
    <xf numFmtId="0" fontId="41" fillId="0" borderId="0" xfId="0" applyFont="1"/>
    <xf numFmtId="0" fontId="41" fillId="0" borderId="1" xfId="0" applyFont="1" applyBorder="1" applyAlignment="1">
      <alignment horizontal="center" vertical="top"/>
    </xf>
    <xf numFmtId="49" fontId="41" fillId="0" borderId="1" xfId="0" applyNumberFormat="1" applyFont="1" applyBorder="1" applyAlignment="1">
      <alignment horizontal="left" vertical="top" wrapText="1"/>
    </xf>
    <xf numFmtId="43" fontId="41" fillId="0" borderId="1" xfId="1" applyFont="1" applyFill="1" applyBorder="1" applyAlignment="1">
      <alignment vertical="top"/>
    </xf>
    <xf numFmtId="43" fontId="41" fillId="0" borderId="5" xfId="1" applyFont="1" applyFill="1" applyBorder="1" applyAlignment="1">
      <alignment vertical="top"/>
    </xf>
    <xf numFmtId="43" fontId="42" fillId="0" borderId="5" xfId="1" applyFont="1" applyFill="1" applyBorder="1" applyAlignment="1">
      <alignment vertical="top"/>
    </xf>
    <xf numFmtId="0" fontId="41" fillId="0" borderId="1" xfId="0" applyFont="1" applyBorder="1"/>
    <xf numFmtId="43" fontId="13" fillId="0" borderId="0" xfId="0" applyNumberFormat="1" applyFont="1"/>
    <xf numFmtId="43" fontId="41" fillId="0" borderId="1" xfId="1" applyFont="1" applyFill="1" applyBorder="1" applyAlignment="1">
      <alignment vertical="top" wrapText="1"/>
    </xf>
    <xf numFmtId="43" fontId="41" fillId="0" borderId="5" xfId="1" applyFont="1" applyFill="1" applyBorder="1" applyAlignment="1">
      <alignment vertical="top" wrapText="1"/>
    </xf>
    <xf numFmtId="0" fontId="42" fillId="0" borderId="0" xfId="0" applyFont="1"/>
    <xf numFmtId="43" fontId="42" fillId="0" borderId="5" xfId="1" applyFont="1" applyFill="1" applyBorder="1" applyAlignment="1">
      <alignment vertical="top" wrapText="1"/>
    </xf>
    <xf numFmtId="0" fontId="41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49" fontId="41" fillId="0" borderId="1" xfId="0" applyNumberFormat="1" applyFont="1" applyBorder="1" applyAlignment="1">
      <alignment horizontal="left" vertical="center" wrapText="1"/>
    </xf>
    <xf numFmtId="43" fontId="41" fillId="0" borderId="1" xfId="1" applyFont="1" applyFill="1" applyBorder="1" applyAlignment="1">
      <alignment vertical="center" wrapText="1"/>
    </xf>
    <xf numFmtId="43" fontId="41" fillId="0" borderId="5" xfId="1" applyFont="1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top"/>
    </xf>
    <xf numFmtId="43" fontId="40" fillId="0" borderId="1" xfId="1" applyFont="1" applyFill="1" applyBorder="1" applyAlignment="1">
      <alignment vertical="center"/>
    </xf>
    <xf numFmtId="43" fontId="40" fillId="0" borderId="5" xfId="1" applyFont="1" applyFill="1" applyBorder="1" applyAlignment="1">
      <alignment vertical="center"/>
    </xf>
    <xf numFmtId="187" fontId="13" fillId="0" borderId="0" xfId="0" applyNumberFormat="1" applyFont="1"/>
    <xf numFmtId="0" fontId="4" fillId="0" borderId="2" xfId="0" applyFont="1" applyBorder="1" applyAlignment="1">
      <alignment vertical="center" wrapText="1"/>
    </xf>
    <xf numFmtId="0" fontId="43" fillId="0" borderId="0" xfId="0" applyFont="1" applyAlignment="1">
      <alignment wrapText="1"/>
    </xf>
    <xf numFmtId="43" fontId="5" fillId="12" borderId="1" xfId="1" applyFont="1" applyFill="1" applyBorder="1" applyAlignment="1">
      <alignment vertical="center"/>
    </xf>
    <xf numFmtId="0" fontId="43" fillId="0" borderId="0" xfId="0" applyFont="1"/>
    <xf numFmtId="0" fontId="42" fillId="0" borderId="0" xfId="0" applyFont="1" applyAlignment="1">
      <alignment vertical="center" wrapText="1"/>
    </xf>
    <xf numFmtId="0" fontId="42" fillId="0" borderId="0" xfId="0" applyFont="1" applyAlignment="1">
      <alignment wrapText="1"/>
    </xf>
    <xf numFmtId="0" fontId="41" fillId="0" borderId="1" xfId="0" applyFont="1" applyBorder="1" applyAlignment="1">
      <alignment horizontal="center" vertical="center"/>
    </xf>
    <xf numFmtId="43" fontId="41" fillId="0" borderId="5" xfId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43" fontId="36" fillId="0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45" fillId="0" borderId="0" xfId="0" applyFont="1"/>
    <xf numFmtId="0" fontId="44" fillId="0" borderId="1" xfId="0" applyFont="1" applyBorder="1" applyAlignment="1">
      <alignment horizontal="center"/>
    </xf>
    <xf numFmtId="43" fontId="44" fillId="0" borderId="1" xfId="1" applyFont="1" applyBorder="1" applyAlignment="1">
      <alignment horizontal="center"/>
    </xf>
    <xf numFmtId="188" fontId="44" fillId="10" borderId="1" xfId="1" applyNumberFormat="1" applyFont="1" applyFill="1" applyBorder="1" applyAlignment="1">
      <alignment horizontal="center"/>
    </xf>
    <xf numFmtId="0" fontId="45" fillId="0" borderId="1" xfId="0" applyFont="1" applyBorder="1"/>
    <xf numFmtId="43" fontId="44" fillId="13" borderId="1" xfId="1" applyFont="1" applyFill="1" applyBorder="1" applyAlignment="1">
      <alignment horizont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43" fontId="45" fillId="0" borderId="1" xfId="1" applyFont="1" applyBorder="1" applyAlignment="1">
      <alignment vertical="center"/>
    </xf>
    <xf numFmtId="188" fontId="45" fillId="10" borderId="1" xfId="1" applyNumberFormat="1" applyFont="1" applyFill="1" applyBorder="1" applyAlignment="1">
      <alignment vertical="center"/>
    </xf>
    <xf numFmtId="0" fontId="45" fillId="0" borderId="1" xfId="0" applyFont="1" applyBorder="1" applyAlignment="1">
      <alignment horizontal="left" vertical="center"/>
    </xf>
    <xf numFmtId="15" fontId="45" fillId="0" borderId="1" xfId="0" quotePrefix="1" applyNumberFormat="1" applyFont="1" applyBorder="1" applyAlignment="1">
      <alignment vertical="center"/>
    </xf>
    <xf numFmtId="0" fontId="45" fillId="0" borderId="0" xfId="0" applyFont="1" applyAlignment="1">
      <alignment vertical="center"/>
    </xf>
    <xf numFmtId="3" fontId="45" fillId="0" borderId="1" xfId="0" applyNumberFormat="1" applyFont="1" applyBorder="1" applyAlignment="1">
      <alignment horizontal="left" vertical="center"/>
    </xf>
    <xf numFmtId="16" fontId="45" fillId="0" borderId="1" xfId="0" quotePrefix="1" applyNumberFormat="1" applyFont="1" applyBorder="1" applyAlignment="1">
      <alignment vertical="center"/>
    </xf>
    <xf numFmtId="0" fontId="45" fillId="0" borderId="1" xfId="0" quotePrefix="1" applyFont="1" applyBorder="1" applyAlignment="1">
      <alignment vertical="center"/>
    </xf>
    <xf numFmtId="43" fontId="45" fillId="0" borderId="1" xfId="1" applyFont="1" applyFill="1" applyBorder="1" applyAlignment="1">
      <alignment vertical="center"/>
    </xf>
    <xf numFmtId="0" fontId="45" fillId="4" borderId="1" xfId="0" applyFont="1" applyFill="1" applyBorder="1"/>
    <xf numFmtId="43" fontId="45" fillId="4" borderId="1" xfId="1" applyFont="1" applyFill="1" applyBorder="1"/>
    <xf numFmtId="43" fontId="45" fillId="4" borderId="1" xfId="1" applyFont="1" applyFill="1" applyBorder="1" applyAlignment="1">
      <alignment vertical="center"/>
    </xf>
    <xf numFmtId="0" fontId="45" fillId="4" borderId="1" xfId="0" quotePrefix="1" applyFont="1" applyFill="1" applyBorder="1"/>
    <xf numFmtId="0" fontId="45" fillId="8" borderId="1" xfId="0" applyFont="1" applyFill="1" applyBorder="1" applyAlignment="1">
      <alignment vertical="center"/>
    </xf>
    <xf numFmtId="0" fontId="45" fillId="0" borderId="1" xfId="0" applyFont="1" applyBorder="1" applyAlignment="1">
      <alignment wrapText="1"/>
    </xf>
    <xf numFmtId="43" fontId="45" fillId="0" borderId="1" xfId="1" applyFont="1" applyBorder="1"/>
    <xf numFmtId="0" fontId="45" fillId="0" borderId="1" xfId="0" quotePrefix="1" applyFont="1" applyBorder="1"/>
    <xf numFmtId="0" fontId="45" fillId="0" borderId="1" xfId="0" quotePrefix="1" applyFont="1" applyBorder="1" applyAlignment="1">
      <alignment horizontal="left" vertical="center"/>
    </xf>
    <xf numFmtId="43" fontId="44" fillId="14" borderId="1" xfId="1" applyFont="1" applyFill="1" applyBorder="1"/>
    <xf numFmtId="188" fontId="44" fillId="10" borderId="1" xfId="1" applyNumberFormat="1" applyFont="1" applyFill="1" applyBorder="1"/>
    <xf numFmtId="0" fontId="45" fillId="0" borderId="0" xfId="0" applyFont="1" applyAlignment="1">
      <alignment horizontal="center"/>
    </xf>
    <xf numFmtId="43" fontId="45" fillId="0" borderId="0" xfId="1" applyFont="1"/>
    <xf numFmtId="188" fontId="45" fillId="0" borderId="0" xfId="1" applyNumberFormat="1" applyFont="1"/>
    <xf numFmtId="43" fontId="14" fillId="0" borderId="1" xfId="0" applyNumberFormat="1" applyFont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49" fontId="5" fillId="4" borderId="1" xfId="0" applyNumberFormat="1" applyFont="1" applyFill="1" applyBorder="1" applyAlignment="1">
      <alignment horizontal="left" vertical="center" wrapText="1"/>
    </xf>
    <xf numFmtId="43" fontId="5" fillId="4" borderId="1" xfId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46" fillId="0" borderId="0" xfId="0" applyFont="1"/>
    <xf numFmtId="0" fontId="46" fillId="0" borderId="0" xfId="0" applyFont="1" applyAlignment="1">
      <alignment vertical="center"/>
    </xf>
    <xf numFmtId="43" fontId="28" fillId="0" borderId="1" xfId="1" applyFont="1" applyFill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/>
    <xf numFmtId="43" fontId="28" fillId="0" borderId="1" xfId="1" applyFont="1" applyFill="1" applyBorder="1"/>
    <xf numFmtId="188" fontId="28" fillId="0" borderId="1" xfId="1" applyNumberFormat="1" applyFont="1" applyFill="1" applyBorder="1" applyAlignment="1">
      <alignment vertical="center"/>
    </xf>
    <xf numFmtId="0" fontId="28" fillId="0" borderId="1" xfId="0" quotePrefix="1" applyFont="1" applyBorder="1"/>
    <xf numFmtId="0" fontId="28" fillId="0" borderId="1" xfId="0" applyFont="1" applyBorder="1" applyAlignment="1">
      <alignment vertical="center"/>
    </xf>
    <xf numFmtId="0" fontId="28" fillId="0" borderId="0" xfId="0" applyFont="1"/>
    <xf numFmtId="0" fontId="28" fillId="0" borderId="1" xfId="0" applyFont="1" applyBorder="1" applyAlignment="1">
      <alignment vertical="center" wrapText="1"/>
    </xf>
    <xf numFmtId="0" fontId="28" fillId="0" borderId="1" xfId="0" quotePrefix="1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1" xfId="0" applyFont="1" applyBorder="1" applyAlignment="1">
      <alignment wrapText="1"/>
    </xf>
    <xf numFmtId="0" fontId="28" fillId="0" borderId="1" xfId="0" quotePrefix="1" applyFont="1" applyBorder="1" applyAlignment="1">
      <alignment horizontal="left" vertical="center"/>
    </xf>
    <xf numFmtId="0" fontId="28" fillId="0" borderId="1" xfId="0" applyFont="1" applyBorder="1" applyAlignment="1">
      <alignment horizontal="left"/>
    </xf>
    <xf numFmtId="43" fontId="29" fillId="0" borderId="1" xfId="1" applyFont="1" applyFill="1" applyBorder="1"/>
    <xf numFmtId="0" fontId="29" fillId="0" borderId="1" xfId="0" applyFont="1" applyBorder="1" applyAlignment="1">
      <alignment horizontal="center"/>
    </xf>
    <xf numFmtId="43" fontId="29" fillId="0" borderId="1" xfId="1" applyFont="1" applyFill="1" applyBorder="1" applyAlignment="1">
      <alignment horizontal="center"/>
    </xf>
    <xf numFmtId="188" fontId="29" fillId="0" borderId="1" xfId="1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15" fontId="28" fillId="0" borderId="1" xfId="0" quotePrefix="1" applyNumberFormat="1" applyFont="1" applyBorder="1" applyAlignment="1">
      <alignment vertical="center"/>
    </xf>
    <xf numFmtId="3" fontId="28" fillId="0" borderId="1" xfId="0" applyNumberFormat="1" applyFont="1" applyBorder="1" applyAlignment="1">
      <alignment horizontal="left" vertical="center"/>
    </xf>
    <xf numFmtId="0" fontId="47" fillId="0" borderId="0" xfId="0" applyFont="1"/>
    <xf numFmtId="15" fontId="47" fillId="0" borderId="0" xfId="0" applyNumberFormat="1" applyFont="1"/>
    <xf numFmtId="16" fontId="28" fillId="0" borderId="1" xfId="0" quotePrefix="1" applyNumberFormat="1" applyFont="1" applyBorder="1" applyAlignment="1">
      <alignment vertical="center"/>
    </xf>
    <xf numFmtId="0" fontId="47" fillId="0" borderId="1" xfId="0" applyFont="1" applyBorder="1"/>
    <xf numFmtId="0" fontId="28" fillId="0" borderId="0" xfId="0" applyFont="1" applyAlignment="1">
      <alignment horizontal="center"/>
    </xf>
    <xf numFmtId="43" fontId="28" fillId="0" borderId="0" xfId="1" applyFont="1" applyFill="1"/>
    <xf numFmtId="188" fontId="28" fillId="0" borderId="0" xfId="1" applyNumberFormat="1" applyFont="1" applyFill="1"/>
    <xf numFmtId="0" fontId="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30" fillId="0" borderId="6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17" fillId="2" borderId="5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4" fillId="0" borderId="7" xfId="0" applyFont="1" applyBorder="1" applyAlignment="1">
      <alignment horizontal="center"/>
    </xf>
    <xf numFmtId="0" fontId="44" fillId="13" borderId="5" xfId="0" applyFont="1" applyFill="1" applyBorder="1" applyAlignment="1">
      <alignment horizontal="center"/>
    </xf>
    <xf numFmtId="0" fontId="44" fillId="13" borderId="3" xfId="0" applyFont="1" applyFill="1" applyBorder="1" applyAlignment="1">
      <alignment horizontal="center"/>
    </xf>
    <xf numFmtId="0" fontId="44" fillId="13" borderId="2" xfId="0" applyFont="1" applyFill="1" applyBorder="1" applyAlignment="1">
      <alignment horizontal="center"/>
    </xf>
    <xf numFmtId="0" fontId="45" fillId="0" borderId="5" xfId="0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top"/>
    </xf>
    <xf numFmtId="49" fontId="41" fillId="0" borderId="1" xfId="0" applyNumberFormat="1" applyFont="1" applyFill="1" applyBorder="1" applyAlignment="1">
      <alignment horizontal="left" vertical="top" wrapText="1"/>
    </xf>
    <xf numFmtId="0" fontId="41" fillId="0" borderId="1" xfId="0" applyFont="1" applyFill="1" applyBorder="1"/>
    <xf numFmtId="0" fontId="13" fillId="0" borderId="0" xfId="0" applyFont="1" applyFill="1"/>
    <xf numFmtId="0" fontId="8" fillId="7" borderId="1" xfId="0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left" vertical="center" wrapText="1"/>
    </xf>
    <xf numFmtId="43" fontId="7" fillId="7" borderId="1" xfId="0" applyNumberFormat="1" applyFont="1" applyFill="1" applyBorder="1" applyAlignment="1">
      <alignment vertical="center"/>
    </xf>
    <xf numFmtId="43" fontId="9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1" xfId="0" applyFont="1" applyFill="1" applyBorder="1"/>
    <xf numFmtId="43" fontId="45" fillId="0" borderId="1" xfId="1" applyFont="1" applyFill="1" applyBorder="1"/>
    <xf numFmtId="188" fontId="45" fillId="0" borderId="1" xfId="1" applyNumberFormat="1" applyFont="1" applyFill="1" applyBorder="1" applyAlignment="1">
      <alignment vertical="center"/>
    </xf>
    <xf numFmtId="0" fontId="45" fillId="0" borderId="1" xfId="0" applyFont="1" applyFill="1" applyBorder="1" applyAlignment="1">
      <alignment horizontal="left"/>
    </xf>
    <xf numFmtId="0" fontId="45" fillId="0" borderId="1" xfId="0" quotePrefix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ED8E-3CA6-4780-8EB0-76798A747142}">
  <dimension ref="A1:I33"/>
  <sheetViews>
    <sheetView topLeftCell="A23" workbookViewId="0">
      <selection activeCell="B42" sqref="B42"/>
    </sheetView>
  </sheetViews>
  <sheetFormatPr defaultColWidth="9" defaultRowHeight="27.75" x14ac:dyDescent="0.65"/>
  <cols>
    <col min="1" max="1" width="24.625" style="60" customWidth="1"/>
    <col min="2" max="2" width="19.625" style="60" customWidth="1"/>
    <col min="3" max="3" width="22.625" style="60" customWidth="1"/>
    <col min="4" max="4" width="23.5" style="60" customWidth="1"/>
    <col min="5" max="6" width="12.375" style="60" bestFit="1" customWidth="1"/>
    <col min="7" max="7" width="9" style="60"/>
    <col min="8" max="8" width="14.25" style="60" bestFit="1" customWidth="1"/>
    <col min="9" max="16384" width="9" style="60"/>
  </cols>
  <sheetData>
    <row r="1" spans="1:4" x14ac:dyDescent="0.65">
      <c r="A1" s="317" t="s">
        <v>79</v>
      </c>
      <c r="B1" s="317"/>
      <c r="C1" s="317"/>
      <c r="D1" s="317"/>
    </row>
    <row r="2" spans="1:4" x14ac:dyDescent="0.65">
      <c r="A2" s="317" t="s">
        <v>80</v>
      </c>
      <c r="B2" s="317"/>
      <c r="C2" s="317"/>
      <c r="D2" s="317"/>
    </row>
    <row r="3" spans="1:4" x14ac:dyDescent="0.65">
      <c r="A3" s="61" t="s">
        <v>81</v>
      </c>
      <c r="B3" s="61" t="s">
        <v>82</v>
      </c>
      <c r="C3" s="61" t="s">
        <v>83</v>
      </c>
      <c r="D3" s="62" t="s">
        <v>5</v>
      </c>
    </row>
    <row r="4" spans="1:4" x14ac:dyDescent="0.65">
      <c r="A4" s="63" t="s">
        <v>84</v>
      </c>
      <c r="B4" s="64">
        <v>1746048.96</v>
      </c>
      <c r="C4" s="64">
        <v>183738.23999999999</v>
      </c>
      <c r="D4" s="65">
        <f>SUM(B4:C4)</f>
        <v>1929787.2</v>
      </c>
    </row>
    <row r="5" spans="1:4" x14ac:dyDescent="0.65">
      <c r="A5" s="63" t="s">
        <v>85</v>
      </c>
      <c r="B5" s="64">
        <v>568088.64</v>
      </c>
      <c r="C5" s="64">
        <v>177038.10782608695</v>
      </c>
      <c r="D5" s="65">
        <f t="shared" ref="D5:D8" si="0">SUM(B5:C5)</f>
        <v>745126.74782608694</v>
      </c>
    </row>
    <row r="6" spans="1:4" x14ac:dyDescent="0.65">
      <c r="A6" s="63" t="s">
        <v>86</v>
      </c>
      <c r="B6" s="64">
        <v>811354.32000000007</v>
      </c>
      <c r="C6" s="64">
        <v>26671.68</v>
      </c>
      <c r="D6" s="65">
        <f t="shared" si="0"/>
        <v>838026.00000000012</v>
      </c>
    </row>
    <row r="7" spans="1:4" x14ac:dyDescent="0.65">
      <c r="A7" s="63" t="s">
        <v>87</v>
      </c>
      <c r="B7" s="64"/>
      <c r="C7" s="64">
        <v>492631.51304347825</v>
      </c>
      <c r="D7" s="65">
        <f t="shared" si="0"/>
        <v>492631.51304347825</v>
      </c>
    </row>
    <row r="8" spans="1:4" x14ac:dyDescent="0.65">
      <c r="A8" s="63" t="s">
        <v>88</v>
      </c>
      <c r="B8" s="64"/>
      <c r="C8" s="64">
        <v>543891.81913043477</v>
      </c>
      <c r="D8" s="65">
        <f t="shared" si="0"/>
        <v>543891.81913043477</v>
      </c>
    </row>
    <row r="9" spans="1:4" x14ac:dyDescent="0.65">
      <c r="A9" s="63" t="s">
        <v>89</v>
      </c>
      <c r="B9" s="68">
        <v>1915611.72</v>
      </c>
      <c r="C9" s="68">
        <v>872700</v>
      </c>
      <c r="D9" s="65">
        <f>B9+C9+B10+B11</f>
        <v>3172436.7199999997</v>
      </c>
    </row>
    <row r="10" spans="1:4" x14ac:dyDescent="0.65">
      <c r="A10" s="63" t="s">
        <v>91</v>
      </c>
      <c r="B10" s="68">
        <v>376800</v>
      </c>
      <c r="C10" s="64"/>
      <c r="D10" s="65"/>
    </row>
    <row r="11" spans="1:4" x14ac:dyDescent="0.65">
      <c r="A11" s="63" t="s">
        <v>92</v>
      </c>
      <c r="B11" s="68">
        <v>7325</v>
      </c>
      <c r="C11" s="64"/>
      <c r="D11" s="65"/>
    </row>
    <row r="12" spans="1:4" x14ac:dyDescent="0.65">
      <c r="A12" s="66" t="s">
        <v>90</v>
      </c>
      <c r="B12" s="67">
        <f>SUM(B4:B11)</f>
        <v>5425228.6399999997</v>
      </c>
      <c r="C12" s="67">
        <f t="shared" ref="C12:D12" si="1">SUM(C4:C11)</f>
        <v>2296671.36</v>
      </c>
      <c r="D12" s="67">
        <f t="shared" si="1"/>
        <v>7721900</v>
      </c>
    </row>
    <row r="16" spans="1:4" x14ac:dyDescent="0.65">
      <c r="A16" s="318" t="s">
        <v>141</v>
      </c>
      <c r="B16" s="318"/>
      <c r="C16" s="318"/>
      <c r="D16" s="155"/>
    </row>
    <row r="17" spans="1:9" x14ac:dyDescent="0.65">
      <c r="A17" s="158" t="s">
        <v>114</v>
      </c>
      <c r="B17" s="159">
        <v>450000</v>
      </c>
      <c r="C17" s="160" t="s">
        <v>140</v>
      </c>
      <c r="D17" s="155"/>
    </row>
    <row r="18" spans="1:9" x14ac:dyDescent="0.65">
      <c r="A18" s="158" t="s">
        <v>2</v>
      </c>
      <c r="B18" s="159">
        <v>67000</v>
      </c>
      <c r="C18" s="158" t="s">
        <v>129</v>
      </c>
      <c r="D18" s="155"/>
    </row>
    <row r="19" spans="1:9" s="157" customFormat="1" ht="148.5" x14ac:dyDescent="0.2">
      <c r="A19" s="161" t="s">
        <v>97</v>
      </c>
      <c r="B19" s="162">
        <v>143000</v>
      </c>
      <c r="C19" s="163" t="s">
        <v>99</v>
      </c>
      <c r="D19" s="156"/>
    </row>
    <row r="20" spans="1:9" x14ac:dyDescent="0.65">
      <c r="A20" s="158" t="s">
        <v>115</v>
      </c>
      <c r="B20" s="159">
        <v>40000</v>
      </c>
      <c r="C20" s="158" t="s">
        <v>126</v>
      </c>
      <c r="D20" s="155"/>
    </row>
    <row r="21" spans="1:9" x14ac:dyDescent="0.65">
      <c r="A21" s="155"/>
      <c r="B21" s="164">
        <f>SUM(B17:B20)</f>
        <v>700000</v>
      </c>
      <c r="C21" s="155"/>
      <c r="D21" s="155"/>
    </row>
    <row r="22" spans="1:9" x14ac:dyDescent="0.65">
      <c r="A22" s="155"/>
      <c r="B22" s="155"/>
      <c r="C22" s="155"/>
      <c r="D22" s="155"/>
    </row>
    <row r="23" spans="1:9" x14ac:dyDescent="0.65">
      <c r="A23" s="319" t="s">
        <v>144</v>
      </c>
      <c r="B23" s="320"/>
      <c r="C23" s="320"/>
      <c r="D23" s="320"/>
      <c r="E23" s="320"/>
      <c r="F23" s="169"/>
      <c r="G23" s="169">
        <v>2262886</v>
      </c>
      <c r="H23" s="170"/>
      <c r="I23" s="170"/>
    </row>
    <row r="24" spans="1:9" x14ac:dyDescent="0.65">
      <c r="A24" s="171" t="s">
        <v>0</v>
      </c>
      <c r="B24" s="171" t="s">
        <v>1</v>
      </c>
      <c r="C24" s="172" t="s">
        <v>145</v>
      </c>
      <c r="D24" s="173" t="s">
        <v>115</v>
      </c>
      <c r="E24" s="174" t="s">
        <v>2</v>
      </c>
      <c r="F24" s="174" t="s">
        <v>114</v>
      </c>
      <c r="G24" s="174" t="s">
        <v>4</v>
      </c>
      <c r="H24" s="173" t="s">
        <v>90</v>
      </c>
      <c r="I24" s="170"/>
    </row>
    <row r="25" spans="1:9" ht="49.5" x14ac:dyDescent="0.65">
      <c r="A25" s="175">
        <v>1</v>
      </c>
      <c r="B25" s="176" t="s">
        <v>10</v>
      </c>
      <c r="C25" s="177">
        <v>5000</v>
      </c>
      <c r="D25" s="178"/>
      <c r="E25" s="179"/>
      <c r="F25" s="179"/>
      <c r="G25" s="179"/>
      <c r="H25" s="180">
        <f>SUM(C25:F25)</f>
        <v>5000</v>
      </c>
      <c r="I25" s="181"/>
    </row>
    <row r="26" spans="1:9" ht="49.5" x14ac:dyDescent="0.65">
      <c r="A26" s="175">
        <v>2</v>
      </c>
      <c r="B26" s="176" t="s">
        <v>16</v>
      </c>
      <c r="C26" s="177">
        <v>40000</v>
      </c>
      <c r="D26" s="158"/>
      <c r="E26" s="159">
        <v>100000</v>
      </c>
      <c r="F26" s="159"/>
      <c r="G26" s="159"/>
      <c r="H26" s="180">
        <f t="shared" ref="H26:H33" si="2">SUM(C26:F26)</f>
        <v>140000</v>
      </c>
      <c r="I26" s="170"/>
    </row>
    <row r="27" spans="1:9" x14ac:dyDescent="0.65">
      <c r="A27" s="175">
        <v>3</v>
      </c>
      <c r="B27" s="176" t="s">
        <v>29</v>
      </c>
      <c r="C27" s="177">
        <v>655000</v>
      </c>
      <c r="D27" s="159">
        <v>923017</v>
      </c>
      <c r="E27" s="159">
        <v>761000</v>
      </c>
      <c r="F27" s="159">
        <v>680000</v>
      </c>
      <c r="G27" s="159"/>
      <c r="H27" s="180">
        <f t="shared" si="2"/>
        <v>3019017</v>
      </c>
      <c r="I27" s="170"/>
    </row>
    <row r="28" spans="1:9" x14ac:dyDescent="0.65">
      <c r="A28" s="175">
        <v>4</v>
      </c>
      <c r="B28" s="176" t="s">
        <v>23</v>
      </c>
      <c r="C28" s="182">
        <v>4500</v>
      </c>
      <c r="D28" s="158"/>
      <c r="E28" s="159">
        <v>45000</v>
      </c>
      <c r="F28" s="159"/>
      <c r="G28" s="159"/>
      <c r="H28" s="180">
        <f t="shared" si="2"/>
        <v>49500</v>
      </c>
      <c r="I28" s="170"/>
    </row>
    <row r="29" spans="1:9" x14ac:dyDescent="0.65">
      <c r="A29" s="175">
        <v>5</v>
      </c>
      <c r="B29" s="176" t="s">
        <v>105</v>
      </c>
      <c r="C29" s="182">
        <v>102000</v>
      </c>
      <c r="D29" s="158"/>
      <c r="E29" s="159"/>
      <c r="F29" s="159">
        <v>80000</v>
      </c>
      <c r="G29" s="159"/>
      <c r="H29" s="180">
        <f t="shared" si="2"/>
        <v>182000</v>
      </c>
      <c r="I29" s="170"/>
    </row>
    <row r="30" spans="1:9" x14ac:dyDescent="0.65">
      <c r="A30" s="175">
        <v>6</v>
      </c>
      <c r="B30" s="176" t="s">
        <v>146</v>
      </c>
      <c r="C30" s="182"/>
      <c r="D30" s="158"/>
      <c r="E30" s="159">
        <v>17017</v>
      </c>
      <c r="F30" s="159"/>
      <c r="G30" s="159"/>
      <c r="H30" s="180">
        <f t="shared" si="2"/>
        <v>17017</v>
      </c>
      <c r="I30" s="170"/>
    </row>
    <row r="31" spans="1:9" ht="46.5" x14ac:dyDescent="0.65">
      <c r="A31" s="175">
        <v>7</v>
      </c>
      <c r="B31" s="183" t="s">
        <v>61</v>
      </c>
      <c r="C31" s="182"/>
      <c r="D31" s="158"/>
      <c r="E31" s="159"/>
      <c r="F31" s="159">
        <v>163017</v>
      </c>
      <c r="G31" s="159"/>
      <c r="H31" s="180">
        <f t="shared" si="2"/>
        <v>163017</v>
      </c>
      <c r="I31" s="170"/>
    </row>
    <row r="32" spans="1:9" x14ac:dyDescent="0.65">
      <c r="A32" s="175">
        <v>8</v>
      </c>
      <c r="B32" s="184" t="s">
        <v>103</v>
      </c>
      <c r="C32" s="182">
        <v>116517</v>
      </c>
      <c r="D32" s="158"/>
      <c r="E32" s="159"/>
      <c r="F32" s="159"/>
      <c r="G32" s="159"/>
      <c r="H32" s="180">
        <f t="shared" si="2"/>
        <v>116517</v>
      </c>
      <c r="I32" s="170"/>
    </row>
    <row r="33" spans="1:9" x14ac:dyDescent="0.65">
      <c r="A33" s="321" t="s">
        <v>90</v>
      </c>
      <c r="B33" s="321"/>
      <c r="C33" s="185">
        <f>SUM(C25:C32)</f>
        <v>923017</v>
      </c>
      <c r="D33" s="185">
        <f t="shared" ref="D33:E33" si="3">SUM(D25:D32)</f>
        <v>923017</v>
      </c>
      <c r="E33" s="185">
        <f t="shared" si="3"/>
        <v>923017</v>
      </c>
      <c r="F33" s="185">
        <f>SUM(F25:F32)</f>
        <v>923017</v>
      </c>
      <c r="G33" s="185"/>
      <c r="H33" s="180">
        <f t="shared" si="2"/>
        <v>3692068</v>
      </c>
      <c r="I33" s="170"/>
    </row>
  </sheetData>
  <mergeCells count="5">
    <mergeCell ref="A1:D1"/>
    <mergeCell ref="A2:D2"/>
    <mergeCell ref="A16:C16"/>
    <mergeCell ref="A23:E23"/>
    <mergeCell ref="A33:B3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0A28-817C-46A5-A6EB-E8D3EC208E01}">
  <dimension ref="A1:J83"/>
  <sheetViews>
    <sheetView topLeftCell="A50" zoomScale="110" zoomScaleNormal="110" workbookViewId="0">
      <selection activeCell="J27" sqref="J27"/>
    </sheetView>
  </sheetViews>
  <sheetFormatPr defaultColWidth="9" defaultRowHeight="23.25" x14ac:dyDescent="0.55000000000000004"/>
  <cols>
    <col min="1" max="1" width="6.25" style="113" customWidth="1"/>
    <col min="2" max="2" width="31.375" style="114" customWidth="1"/>
    <col min="3" max="3" width="14.75" style="115" bestFit="1" customWidth="1"/>
    <col min="4" max="4" width="12.625" style="143" bestFit="1" customWidth="1"/>
    <col min="5" max="5" width="12.25" style="127" bestFit="1" customWidth="1"/>
    <col min="6" max="6" width="12.625" style="133" bestFit="1" customWidth="1"/>
    <col min="7" max="7" width="12.375" style="116" bestFit="1" customWidth="1"/>
    <col min="8" max="8" width="12.625" style="113" bestFit="1" customWidth="1"/>
    <col min="9" max="9" width="14.625" style="113" customWidth="1"/>
    <col min="10" max="10" width="22.75" style="113" customWidth="1"/>
    <col min="11" max="16384" width="9" style="113"/>
  </cols>
  <sheetData>
    <row r="1" spans="1:10" s="76" customFormat="1" ht="46.5" x14ac:dyDescent="0.2">
      <c r="A1" s="71" t="s">
        <v>0</v>
      </c>
      <c r="B1" s="71" t="s">
        <v>1</v>
      </c>
      <c r="C1" s="72" t="s">
        <v>113</v>
      </c>
      <c r="D1" s="134" t="s">
        <v>114</v>
      </c>
      <c r="E1" s="120" t="s">
        <v>2</v>
      </c>
      <c r="F1" s="128" t="s">
        <v>3</v>
      </c>
      <c r="G1" s="74" t="s">
        <v>97</v>
      </c>
      <c r="H1" s="73" t="s">
        <v>115</v>
      </c>
      <c r="I1" s="73" t="s">
        <v>118</v>
      </c>
      <c r="J1" s="75"/>
    </row>
    <row r="2" spans="1:10" s="83" customFormat="1" x14ac:dyDescent="0.55000000000000004">
      <c r="A2" s="77">
        <v>1</v>
      </c>
      <c r="B2" s="78" t="s">
        <v>6</v>
      </c>
      <c r="C2" s="79">
        <v>408000</v>
      </c>
      <c r="D2" s="135"/>
      <c r="E2" s="121"/>
      <c r="F2" s="129"/>
      <c r="G2" s="81"/>
      <c r="H2" s="80"/>
      <c r="I2" s="82">
        <f>C2+D2+E2+F2+G2+H2</f>
        <v>408000</v>
      </c>
    </row>
    <row r="3" spans="1:10" s="83" customFormat="1" x14ac:dyDescent="0.55000000000000004">
      <c r="A3" s="77">
        <v>2</v>
      </c>
      <c r="B3" s="78" t="s">
        <v>7</v>
      </c>
      <c r="C3" s="79">
        <v>120000</v>
      </c>
      <c r="D3" s="135"/>
      <c r="E3" s="121"/>
      <c r="F3" s="129"/>
      <c r="G3" s="81"/>
      <c r="H3" s="80"/>
      <c r="I3" s="82">
        <f t="shared" ref="I3:I64" si="0">C3+D3+E3+F3+G3+H3</f>
        <v>120000</v>
      </c>
    </row>
    <row r="4" spans="1:10" s="83" customFormat="1" x14ac:dyDescent="0.55000000000000004">
      <c r="A4" s="77">
        <v>3</v>
      </c>
      <c r="B4" s="78" t="s">
        <v>8</v>
      </c>
      <c r="C4" s="79"/>
      <c r="D4" s="135">
        <v>40000</v>
      </c>
      <c r="E4" s="122">
        <v>30000</v>
      </c>
      <c r="F4" s="130">
        <v>30000</v>
      </c>
      <c r="G4" s="81"/>
      <c r="H4" s="80"/>
      <c r="I4" s="82">
        <f t="shared" si="0"/>
        <v>100000</v>
      </c>
    </row>
    <row r="5" spans="1:10" s="83" customFormat="1" x14ac:dyDescent="0.55000000000000004">
      <c r="A5" s="77">
        <v>4</v>
      </c>
      <c r="B5" s="85" t="s">
        <v>9</v>
      </c>
      <c r="C5" s="84">
        <v>5000</v>
      </c>
      <c r="D5" s="136">
        <v>15000</v>
      </c>
      <c r="E5" s="122">
        <v>2000</v>
      </c>
      <c r="F5" s="129"/>
      <c r="G5" s="81"/>
      <c r="H5" s="80"/>
      <c r="I5" s="82">
        <f t="shared" si="0"/>
        <v>22000</v>
      </c>
    </row>
    <row r="6" spans="1:10" s="83" customFormat="1" x14ac:dyDescent="0.55000000000000004">
      <c r="A6" s="77">
        <v>5</v>
      </c>
      <c r="B6" s="85" t="s">
        <v>49</v>
      </c>
      <c r="C6" s="84">
        <v>115000</v>
      </c>
      <c r="D6" s="137"/>
      <c r="E6" s="122"/>
      <c r="F6" s="129"/>
      <c r="G6" s="87">
        <v>10000</v>
      </c>
      <c r="H6" s="84">
        <v>22500</v>
      </c>
      <c r="I6" s="82">
        <f t="shared" si="0"/>
        <v>147500</v>
      </c>
    </row>
    <row r="7" spans="1:10" s="118" customFormat="1" ht="46.5" x14ac:dyDescent="0.2">
      <c r="A7" s="77">
        <v>6</v>
      </c>
      <c r="B7" s="89" t="s">
        <v>10</v>
      </c>
      <c r="C7" s="79">
        <v>34000</v>
      </c>
      <c r="D7" s="138">
        <v>40000</v>
      </c>
      <c r="E7" s="121">
        <v>1000</v>
      </c>
      <c r="F7" s="131"/>
      <c r="G7" s="119">
        <v>5000</v>
      </c>
      <c r="H7" s="79">
        <v>20000</v>
      </c>
      <c r="I7" s="117">
        <f t="shared" si="0"/>
        <v>100000</v>
      </c>
    </row>
    <row r="8" spans="1:10" s="83" customFormat="1" x14ac:dyDescent="0.55000000000000004">
      <c r="A8" s="77">
        <v>7</v>
      </c>
      <c r="B8" s="85" t="s">
        <v>11</v>
      </c>
      <c r="C8" s="84">
        <v>186000</v>
      </c>
      <c r="D8" s="137"/>
      <c r="E8" s="122"/>
      <c r="F8" s="129"/>
      <c r="G8" s="81"/>
      <c r="H8" s="80"/>
      <c r="I8" s="82">
        <f t="shared" si="0"/>
        <v>186000</v>
      </c>
    </row>
    <row r="9" spans="1:10" s="83" customFormat="1" x14ac:dyDescent="0.55000000000000004">
      <c r="A9" s="77">
        <v>8</v>
      </c>
      <c r="B9" s="85" t="s">
        <v>12</v>
      </c>
      <c r="C9" s="84">
        <v>18000</v>
      </c>
      <c r="D9" s="137"/>
      <c r="E9" s="122"/>
      <c r="F9" s="129"/>
      <c r="G9" s="81"/>
      <c r="H9" s="80"/>
      <c r="I9" s="82">
        <f t="shared" si="0"/>
        <v>18000</v>
      </c>
    </row>
    <row r="10" spans="1:10" s="83" customFormat="1" x14ac:dyDescent="0.55000000000000004">
      <c r="A10" s="77">
        <v>9</v>
      </c>
      <c r="B10" s="85" t="s">
        <v>13</v>
      </c>
      <c r="C10" s="84">
        <v>20000</v>
      </c>
      <c r="D10" s="137"/>
      <c r="E10" s="122"/>
      <c r="F10" s="129"/>
      <c r="G10" s="81"/>
      <c r="H10" s="80"/>
      <c r="I10" s="82">
        <f t="shared" si="0"/>
        <v>20000</v>
      </c>
    </row>
    <row r="11" spans="1:10" s="83" customFormat="1" x14ac:dyDescent="0.55000000000000004">
      <c r="A11" s="77">
        <v>10</v>
      </c>
      <c r="B11" s="85" t="s">
        <v>14</v>
      </c>
      <c r="C11" s="84">
        <v>10000</v>
      </c>
      <c r="D11" s="137"/>
      <c r="E11" s="122"/>
      <c r="F11" s="129"/>
      <c r="G11" s="81"/>
      <c r="H11" s="80"/>
      <c r="I11" s="82">
        <f t="shared" si="0"/>
        <v>10000</v>
      </c>
    </row>
    <row r="12" spans="1:10" s="83" customFormat="1" x14ac:dyDescent="0.55000000000000004">
      <c r="A12" s="77">
        <v>11</v>
      </c>
      <c r="B12" s="85" t="s">
        <v>15</v>
      </c>
      <c r="C12" s="84">
        <v>250000</v>
      </c>
      <c r="D12" s="136">
        <v>360000</v>
      </c>
      <c r="E12" s="122">
        <f>170000+40000</f>
        <v>210000</v>
      </c>
      <c r="F12" s="130">
        <v>90000</v>
      </c>
      <c r="G12" s="88">
        <v>232000</v>
      </c>
      <c r="H12" s="84">
        <v>225000</v>
      </c>
      <c r="I12" s="82">
        <f t="shared" si="0"/>
        <v>1367000</v>
      </c>
    </row>
    <row r="13" spans="1:10" s="83" customFormat="1" x14ac:dyDescent="0.55000000000000004">
      <c r="A13" s="77">
        <v>12</v>
      </c>
      <c r="B13" s="85" t="s">
        <v>16</v>
      </c>
      <c r="C13" s="84">
        <v>70000</v>
      </c>
      <c r="D13" s="136">
        <v>75000</v>
      </c>
      <c r="E13" s="122">
        <v>35000</v>
      </c>
      <c r="F13" s="130">
        <v>50000</v>
      </c>
      <c r="G13" s="88">
        <v>20000</v>
      </c>
      <c r="H13" s="84">
        <v>54632</v>
      </c>
      <c r="I13" s="82">
        <f t="shared" si="0"/>
        <v>304632</v>
      </c>
    </row>
    <row r="14" spans="1:10" s="83" customFormat="1" x14ac:dyDescent="0.55000000000000004">
      <c r="A14" s="77">
        <v>14</v>
      </c>
      <c r="B14" s="85" t="s">
        <v>17</v>
      </c>
      <c r="C14" s="86">
        <v>89138</v>
      </c>
      <c r="D14" s="136">
        <v>6787</v>
      </c>
      <c r="E14" s="122"/>
      <c r="F14" s="130">
        <v>74026</v>
      </c>
      <c r="G14" s="81">
        <v>58892</v>
      </c>
      <c r="H14" s="80"/>
      <c r="I14" s="82">
        <f t="shared" si="0"/>
        <v>228843</v>
      </c>
    </row>
    <row r="15" spans="1:10" s="83" customFormat="1" x14ac:dyDescent="0.55000000000000004">
      <c r="A15" s="77">
        <v>15</v>
      </c>
      <c r="B15" s="85" t="s">
        <v>18</v>
      </c>
      <c r="C15" s="84">
        <v>60000</v>
      </c>
      <c r="D15" s="137"/>
      <c r="E15" s="122"/>
      <c r="F15" s="130">
        <v>5000</v>
      </c>
      <c r="G15" s="81"/>
      <c r="H15" s="80"/>
      <c r="I15" s="82">
        <f t="shared" si="0"/>
        <v>65000</v>
      </c>
    </row>
    <row r="16" spans="1:10" s="83" customFormat="1" x14ac:dyDescent="0.55000000000000004">
      <c r="A16" s="77">
        <v>16</v>
      </c>
      <c r="B16" s="85" t="s">
        <v>19</v>
      </c>
      <c r="C16" s="84">
        <v>10000</v>
      </c>
      <c r="D16" s="137"/>
      <c r="E16" s="122"/>
      <c r="F16" s="129"/>
      <c r="G16" s="81"/>
      <c r="H16" s="80"/>
      <c r="I16" s="82">
        <f t="shared" si="0"/>
        <v>10000</v>
      </c>
    </row>
    <row r="17" spans="1:10" s="83" customFormat="1" x14ac:dyDescent="0.2">
      <c r="A17" s="77">
        <v>17</v>
      </c>
      <c r="B17" s="89" t="s">
        <v>21</v>
      </c>
      <c r="C17" s="86"/>
      <c r="D17" s="136">
        <v>20000</v>
      </c>
      <c r="E17" s="122">
        <v>40625</v>
      </c>
      <c r="F17" s="130">
        <v>120000</v>
      </c>
      <c r="G17" s="81"/>
      <c r="H17" s="80"/>
      <c r="I17" s="82">
        <f t="shared" si="0"/>
        <v>180625</v>
      </c>
    </row>
    <row r="18" spans="1:10" s="83" customFormat="1" x14ac:dyDescent="0.2">
      <c r="A18" s="77">
        <v>18</v>
      </c>
      <c r="B18" s="89" t="s">
        <v>63</v>
      </c>
      <c r="C18" s="86"/>
      <c r="D18" s="136">
        <v>50000</v>
      </c>
      <c r="E18" s="122">
        <v>37000</v>
      </c>
      <c r="F18" s="129"/>
      <c r="G18" s="81"/>
      <c r="H18" s="80"/>
      <c r="I18" s="82">
        <f t="shared" si="0"/>
        <v>87000</v>
      </c>
    </row>
    <row r="19" spans="1:10" s="83" customFormat="1" x14ac:dyDescent="0.2">
      <c r="A19" s="77">
        <v>19</v>
      </c>
      <c r="B19" s="89" t="s">
        <v>116</v>
      </c>
      <c r="C19" s="86"/>
      <c r="D19" s="136"/>
      <c r="E19" s="122">
        <v>30000</v>
      </c>
      <c r="F19" s="130">
        <v>60000</v>
      </c>
      <c r="G19" s="81"/>
      <c r="H19" s="80"/>
      <c r="I19" s="82">
        <f t="shared" si="0"/>
        <v>90000</v>
      </c>
    </row>
    <row r="20" spans="1:10" s="83" customFormat="1" x14ac:dyDescent="0.55000000000000004">
      <c r="A20" s="77">
        <v>20</v>
      </c>
      <c r="B20" s="85" t="s">
        <v>20</v>
      </c>
      <c r="C20" s="84">
        <v>10000</v>
      </c>
      <c r="D20" s="136">
        <v>8000</v>
      </c>
      <c r="E20" s="122"/>
      <c r="F20" s="129"/>
      <c r="G20" s="81"/>
      <c r="H20" s="80"/>
      <c r="I20" s="82">
        <f t="shared" si="0"/>
        <v>18000</v>
      </c>
    </row>
    <row r="21" spans="1:10" s="83" customFormat="1" x14ac:dyDescent="0.55000000000000004">
      <c r="A21" s="77">
        <v>21</v>
      </c>
      <c r="B21" s="85" t="s">
        <v>24</v>
      </c>
      <c r="C21" s="84">
        <v>10000</v>
      </c>
      <c r="D21" s="136">
        <v>5000</v>
      </c>
      <c r="E21" s="122"/>
      <c r="F21" s="129"/>
      <c r="G21" s="81"/>
      <c r="H21" s="80"/>
      <c r="I21" s="82">
        <f t="shared" si="0"/>
        <v>15000</v>
      </c>
    </row>
    <row r="22" spans="1:10" s="83" customFormat="1" x14ac:dyDescent="0.55000000000000004">
      <c r="A22" s="77">
        <v>22</v>
      </c>
      <c r="B22" s="85" t="s">
        <v>25</v>
      </c>
      <c r="C22" s="84">
        <v>10000</v>
      </c>
      <c r="D22" s="136">
        <v>4000</v>
      </c>
      <c r="E22" s="122"/>
      <c r="F22" s="130">
        <v>1000</v>
      </c>
      <c r="G22" s="81"/>
      <c r="H22" s="84">
        <v>500</v>
      </c>
      <c r="I22" s="82">
        <f t="shared" si="0"/>
        <v>15500</v>
      </c>
    </row>
    <row r="23" spans="1:10" s="83" customFormat="1" x14ac:dyDescent="0.55000000000000004">
      <c r="A23" s="77">
        <v>23</v>
      </c>
      <c r="B23" s="85" t="s">
        <v>26</v>
      </c>
      <c r="C23" s="84">
        <v>50000</v>
      </c>
      <c r="D23" s="137">
        <v>65000</v>
      </c>
      <c r="E23" s="122">
        <v>30000</v>
      </c>
      <c r="F23" s="130">
        <v>20000</v>
      </c>
      <c r="G23" s="87">
        <v>25000</v>
      </c>
      <c r="H23" s="84">
        <v>50000</v>
      </c>
      <c r="I23" s="82">
        <f t="shared" si="0"/>
        <v>240000</v>
      </c>
    </row>
    <row r="24" spans="1:10" s="83" customFormat="1" x14ac:dyDescent="0.55000000000000004">
      <c r="A24" s="77">
        <v>24</v>
      </c>
      <c r="B24" s="85" t="s">
        <v>78</v>
      </c>
      <c r="C24" s="84">
        <v>10000</v>
      </c>
      <c r="D24" s="137"/>
      <c r="E24" s="122"/>
      <c r="F24" s="129"/>
      <c r="G24" s="81"/>
      <c r="H24" s="80"/>
      <c r="I24" s="82">
        <f t="shared" si="0"/>
        <v>10000</v>
      </c>
    </row>
    <row r="25" spans="1:10" s="83" customFormat="1" x14ac:dyDescent="0.55000000000000004">
      <c r="A25" s="77">
        <v>25</v>
      </c>
      <c r="B25" s="85" t="s">
        <v>27</v>
      </c>
      <c r="C25" s="84">
        <v>42000</v>
      </c>
      <c r="D25" s="137"/>
      <c r="E25" s="122"/>
      <c r="F25" s="129"/>
      <c r="G25" s="81"/>
      <c r="H25" s="80"/>
      <c r="I25" s="82">
        <f t="shared" si="0"/>
        <v>42000</v>
      </c>
    </row>
    <row r="26" spans="1:10" s="83" customFormat="1" x14ac:dyDescent="0.55000000000000004">
      <c r="A26" s="77">
        <v>26</v>
      </c>
      <c r="B26" s="85" t="s">
        <v>28</v>
      </c>
      <c r="C26" s="84">
        <v>376800</v>
      </c>
      <c r="D26" s="137"/>
      <c r="E26" s="122"/>
      <c r="F26" s="129"/>
      <c r="G26" s="81"/>
      <c r="H26" s="80"/>
      <c r="I26" s="82">
        <f t="shared" si="0"/>
        <v>376800</v>
      </c>
    </row>
    <row r="27" spans="1:10" s="83" customFormat="1" ht="46.5" x14ac:dyDescent="0.2">
      <c r="A27" s="77">
        <v>27</v>
      </c>
      <c r="B27" s="89" t="s">
        <v>23</v>
      </c>
      <c r="C27" s="84"/>
      <c r="D27" s="137">
        <v>50000</v>
      </c>
      <c r="E27" s="123">
        <v>50000</v>
      </c>
      <c r="F27" s="129"/>
      <c r="G27" s="81"/>
      <c r="H27" s="80"/>
      <c r="I27" s="82">
        <f t="shared" si="0"/>
        <v>100000</v>
      </c>
      <c r="J27" s="90" t="s">
        <v>131</v>
      </c>
    </row>
    <row r="28" spans="1:10" s="83" customFormat="1" ht="93" x14ac:dyDescent="0.2">
      <c r="A28" s="77">
        <v>28</v>
      </c>
      <c r="B28" s="89" t="s">
        <v>29</v>
      </c>
      <c r="C28" s="84"/>
      <c r="D28" s="137">
        <v>450000</v>
      </c>
      <c r="E28" s="123">
        <v>67000</v>
      </c>
      <c r="F28" s="129"/>
      <c r="G28" s="91">
        <v>143000</v>
      </c>
      <c r="H28" s="84">
        <v>40000</v>
      </c>
      <c r="I28" s="82">
        <f t="shared" si="0"/>
        <v>700000</v>
      </c>
      <c r="J28" s="90" t="s">
        <v>132</v>
      </c>
    </row>
    <row r="29" spans="1:10" s="83" customFormat="1" x14ac:dyDescent="0.2">
      <c r="A29" s="77">
        <v>29</v>
      </c>
      <c r="B29" s="89" t="s">
        <v>105</v>
      </c>
      <c r="C29" s="84">
        <v>21000</v>
      </c>
      <c r="D29" s="137"/>
      <c r="E29" s="123"/>
      <c r="F29" s="129"/>
      <c r="G29" s="91"/>
      <c r="H29" s="84"/>
      <c r="I29" s="82">
        <f t="shared" si="0"/>
        <v>21000</v>
      </c>
      <c r="J29" s="83" t="s">
        <v>127</v>
      </c>
    </row>
    <row r="30" spans="1:10" s="108" customFormat="1" ht="46.5" x14ac:dyDescent="0.55000000000000004">
      <c r="A30" s="144">
        <v>30</v>
      </c>
      <c r="B30" s="145" t="s">
        <v>133</v>
      </c>
      <c r="C30" s="146">
        <v>30000</v>
      </c>
      <c r="D30" s="147"/>
      <c r="E30" s="147"/>
      <c r="F30" s="148"/>
      <c r="G30" s="149"/>
      <c r="H30" s="148"/>
      <c r="I30" s="150">
        <f t="shared" si="0"/>
        <v>30000</v>
      </c>
    </row>
    <row r="31" spans="1:10" s="83" customFormat="1" x14ac:dyDescent="0.55000000000000004">
      <c r="A31" s="77">
        <v>31</v>
      </c>
      <c r="B31" s="92" t="s">
        <v>122</v>
      </c>
      <c r="C31" s="93">
        <v>24000</v>
      </c>
      <c r="D31" s="137"/>
      <c r="E31" s="122"/>
      <c r="F31" s="129"/>
      <c r="G31" s="81"/>
      <c r="H31" s="80"/>
      <c r="I31" s="82">
        <f t="shared" si="0"/>
        <v>24000</v>
      </c>
    </row>
    <row r="32" spans="1:10" s="83" customFormat="1" x14ac:dyDescent="0.55000000000000004">
      <c r="A32" s="77">
        <v>32</v>
      </c>
      <c r="B32" s="92" t="s">
        <v>124</v>
      </c>
      <c r="C32" s="93">
        <v>8000</v>
      </c>
      <c r="D32" s="137"/>
      <c r="E32" s="122"/>
      <c r="F32" s="129"/>
      <c r="G32" s="81"/>
      <c r="H32" s="80"/>
      <c r="I32" s="82">
        <f t="shared" si="0"/>
        <v>8000</v>
      </c>
    </row>
    <row r="33" spans="1:10" s="83" customFormat="1" x14ac:dyDescent="0.55000000000000004">
      <c r="A33" s="77">
        <v>33</v>
      </c>
      <c r="B33" s="94" t="s">
        <v>125</v>
      </c>
      <c r="C33" s="84">
        <v>85000</v>
      </c>
      <c r="D33" s="137"/>
      <c r="E33" s="122"/>
      <c r="F33" s="129"/>
      <c r="G33" s="81"/>
      <c r="H33" s="80"/>
      <c r="I33" s="82">
        <f t="shared" si="0"/>
        <v>85000</v>
      </c>
      <c r="J33" s="108"/>
    </row>
    <row r="34" spans="1:10" s="83" customFormat="1" x14ac:dyDescent="0.55000000000000004">
      <c r="A34" s="77">
        <v>34</v>
      </c>
      <c r="B34" s="95" t="s">
        <v>31</v>
      </c>
      <c r="C34" s="93">
        <v>70000</v>
      </c>
      <c r="D34" s="137"/>
      <c r="E34" s="122"/>
      <c r="F34" s="129"/>
      <c r="G34" s="81"/>
      <c r="H34" s="80"/>
      <c r="I34" s="82">
        <f t="shared" si="0"/>
        <v>70000</v>
      </c>
    </row>
    <row r="35" spans="1:10" s="83" customFormat="1" ht="69.75" x14ac:dyDescent="0.55000000000000004">
      <c r="A35" s="77">
        <v>35</v>
      </c>
      <c r="B35" s="95" t="s">
        <v>75</v>
      </c>
      <c r="C35" s="93">
        <v>25000</v>
      </c>
      <c r="D35" s="137"/>
      <c r="E35" s="122"/>
      <c r="F35" s="129"/>
      <c r="G35" s="81"/>
      <c r="H35" s="80"/>
      <c r="I35" s="82">
        <f t="shared" si="0"/>
        <v>25000</v>
      </c>
    </row>
    <row r="36" spans="1:10" s="83" customFormat="1" ht="46.5" x14ac:dyDescent="0.55000000000000004">
      <c r="A36" s="77">
        <v>36</v>
      </c>
      <c r="B36" s="96" t="s">
        <v>52</v>
      </c>
      <c r="C36" s="97">
        <v>200000</v>
      </c>
      <c r="D36" s="137"/>
      <c r="E36" s="122"/>
      <c r="F36" s="129"/>
      <c r="G36" s="81"/>
      <c r="H36" s="80"/>
      <c r="I36" s="82">
        <f t="shared" si="0"/>
        <v>200000</v>
      </c>
      <c r="J36" s="108"/>
    </row>
    <row r="37" spans="1:10" s="98" customFormat="1" ht="46.5" x14ac:dyDescent="0.55000000000000004">
      <c r="A37" s="77">
        <v>37</v>
      </c>
      <c r="B37" s="95" t="s">
        <v>119</v>
      </c>
      <c r="C37" s="93">
        <v>20000</v>
      </c>
      <c r="D37" s="137"/>
      <c r="E37" s="122"/>
      <c r="F37" s="129"/>
      <c r="G37" s="81"/>
      <c r="H37" s="80"/>
      <c r="I37" s="82">
        <f t="shared" si="0"/>
        <v>20000</v>
      </c>
      <c r="J37" s="83"/>
    </row>
    <row r="38" spans="1:10" s="98" customFormat="1" ht="46.5" x14ac:dyDescent="0.55000000000000004">
      <c r="A38" s="77">
        <v>38</v>
      </c>
      <c r="B38" s="96" t="s">
        <v>53</v>
      </c>
      <c r="C38" s="93">
        <v>70000</v>
      </c>
      <c r="D38" s="139"/>
      <c r="E38" s="124"/>
      <c r="F38" s="129"/>
      <c r="G38" s="81"/>
      <c r="H38" s="80"/>
      <c r="I38" s="82">
        <f t="shared" si="0"/>
        <v>70000</v>
      </c>
      <c r="J38" s="83"/>
    </row>
    <row r="39" spans="1:10" s="83" customFormat="1" ht="46.5" x14ac:dyDescent="0.55000000000000004">
      <c r="A39" s="77">
        <v>39</v>
      </c>
      <c r="B39" s="96" t="s">
        <v>120</v>
      </c>
      <c r="C39" s="93">
        <v>25000</v>
      </c>
      <c r="D39" s="137"/>
      <c r="E39" s="122"/>
      <c r="F39" s="129"/>
      <c r="G39" s="81"/>
      <c r="H39" s="80"/>
      <c r="I39" s="82">
        <f t="shared" si="0"/>
        <v>25000</v>
      </c>
      <c r="J39" s="108"/>
    </row>
    <row r="40" spans="1:10" s="83" customFormat="1" x14ac:dyDescent="0.55000000000000004">
      <c r="A40" s="77">
        <v>40</v>
      </c>
      <c r="B40" s="96" t="s">
        <v>121</v>
      </c>
      <c r="C40" s="93">
        <v>15000</v>
      </c>
      <c r="D40" s="137"/>
      <c r="E40" s="122"/>
      <c r="F40" s="129"/>
      <c r="G40" s="81"/>
      <c r="H40" s="80"/>
      <c r="I40" s="82">
        <f t="shared" si="0"/>
        <v>15000</v>
      </c>
    </row>
    <row r="41" spans="1:10" s="83" customFormat="1" ht="46.5" x14ac:dyDescent="0.55000000000000004">
      <c r="A41" s="77">
        <v>41</v>
      </c>
      <c r="B41" s="96" t="s">
        <v>134</v>
      </c>
      <c r="C41" s="93">
        <v>15000</v>
      </c>
      <c r="D41" s="137"/>
      <c r="E41" s="122"/>
      <c r="F41" s="129"/>
      <c r="G41" s="81"/>
      <c r="H41" s="80"/>
      <c r="I41" s="82">
        <f t="shared" si="0"/>
        <v>15000</v>
      </c>
    </row>
    <row r="42" spans="1:10" s="83" customFormat="1" ht="69.75" x14ac:dyDescent="0.55000000000000004">
      <c r="A42" s="77">
        <v>42</v>
      </c>
      <c r="B42" s="95" t="s">
        <v>55</v>
      </c>
      <c r="C42" s="93">
        <v>10000</v>
      </c>
      <c r="D42" s="137"/>
      <c r="E42" s="122"/>
      <c r="F42" s="129"/>
      <c r="G42" s="81"/>
      <c r="H42" s="80"/>
      <c r="I42" s="82">
        <f t="shared" si="0"/>
        <v>10000</v>
      </c>
      <c r="J42" s="108"/>
    </row>
    <row r="43" spans="1:10" s="83" customFormat="1" ht="46.5" x14ac:dyDescent="0.55000000000000004">
      <c r="A43" s="77">
        <v>43</v>
      </c>
      <c r="B43" s="95" t="s">
        <v>56</v>
      </c>
      <c r="C43" s="93">
        <v>350000</v>
      </c>
      <c r="D43" s="137"/>
      <c r="E43" s="122"/>
      <c r="F43" s="129"/>
      <c r="G43" s="81"/>
      <c r="H43" s="80"/>
      <c r="I43" s="82">
        <f t="shared" si="0"/>
        <v>350000</v>
      </c>
    </row>
    <row r="44" spans="1:10" s="83" customFormat="1" x14ac:dyDescent="0.55000000000000004">
      <c r="A44" s="77">
        <v>44</v>
      </c>
      <c r="B44" s="96" t="s">
        <v>57</v>
      </c>
      <c r="C44" s="93">
        <v>45000</v>
      </c>
      <c r="D44" s="137"/>
      <c r="E44" s="122"/>
      <c r="F44" s="129"/>
      <c r="G44" s="81"/>
      <c r="H44" s="80"/>
      <c r="I44" s="82">
        <f t="shared" si="0"/>
        <v>45000</v>
      </c>
    </row>
    <row r="45" spans="1:10" s="83" customFormat="1" ht="46.5" x14ac:dyDescent="0.55000000000000004">
      <c r="A45" s="77">
        <v>45</v>
      </c>
      <c r="B45" s="96" t="s">
        <v>123</v>
      </c>
      <c r="C45" s="93">
        <v>15000</v>
      </c>
      <c r="D45" s="137"/>
      <c r="E45" s="122"/>
      <c r="F45" s="129"/>
      <c r="G45" s="81"/>
      <c r="H45" s="80"/>
      <c r="I45" s="82">
        <f t="shared" si="0"/>
        <v>15000</v>
      </c>
      <c r="J45" s="108"/>
    </row>
    <row r="46" spans="1:10" s="83" customFormat="1" ht="69.75" x14ac:dyDescent="0.55000000000000004">
      <c r="A46" s="77">
        <v>46</v>
      </c>
      <c r="B46" s="96" t="s">
        <v>58</v>
      </c>
      <c r="C46" s="93">
        <v>88000</v>
      </c>
      <c r="D46" s="140"/>
      <c r="E46" s="122"/>
      <c r="F46" s="129"/>
      <c r="G46" s="81"/>
      <c r="H46" s="80"/>
      <c r="I46" s="82">
        <f t="shared" si="0"/>
        <v>88000</v>
      </c>
    </row>
    <row r="47" spans="1:10" s="98" customFormat="1" ht="46.5" x14ac:dyDescent="0.55000000000000004">
      <c r="A47" s="77">
        <v>47</v>
      </c>
      <c r="B47" s="96" t="s">
        <v>112</v>
      </c>
      <c r="C47" s="93">
        <v>50000</v>
      </c>
      <c r="D47" s="137"/>
      <c r="E47" s="122"/>
      <c r="F47" s="129"/>
      <c r="G47" s="81"/>
      <c r="H47" s="80"/>
      <c r="I47" s="82">
        <f t="shared" si="0"/>
        <v>50000</v>
      </c>
      <c r="J47" s="83"/>
    </row>
    <row r="48" spans="1:10" s="98" customFormat="1" ht="46.5" x14ac:dyDescent="0.55000000000000004">
      <c r="A48" s="77">
        <v>48</v>
      </c>
      <c r="B48" s="96" t="s">
        <v>59</v>
      </c>
      <c r="C48" s="93">
        <v>25000</v>
      </c>
      <c r="D48" s="137"/>
      <c r="E48" s="122"/>
      <c r="F48" s="129"/>
      <c r="G48" s="81"/>
      <c r="H48" s="80"/>
      <c r="I48" s="82">
        <f t="shared" si="0"/>
        <v>25000</v>
      </c>
      <c r="J48" s="108"/>
    </row>
    <row r="49" spans="1:10" s="98" customFormat="1" ht="46.5" x14ac:dyDescent="0.55000000000000004">
      <c r="A49" s="77">
        <v>49</v>
      </c>
      <c r="B49" s="96" t="s">
        <v>60</v>
      </c>
      <c r="C49" s="93">
        <v>40000</v>
      </c>
      <c r="D49" s="137"/>
      <c r="E49" s="122"/>
      <c r="F49" s="129"/>
      <c r="G49" s="81"/>
      <c r="H49" s="80"/>
      <c r="I49" s="82">
        <f t="shared" si="0"/>
        <v>40000</v>
      </c>
      <c r="J49" s="83"/>
    </row>
    <row r="50" spans="1:10" s="98" customFormat="1" ht="46.5" x14ac:dyDescent="0.55000000000000004">
      <c r="A50" s="77">
        <v>50</v>
      </c>
      <c r="B50" s="95" t="s">
        <v>77</v>
      </c>
      <c r="C50" s="99">
        <v>70000</v>
      </c>
      <c r="D50" s="137"/>
      <c r="E50" s="122"/>
      <c r="F50" s="129"/>
      <c r="G50" s="81"/>
      <c r="H50" s="80"/>
      <c r="I50" s="82">
        <f t="shared" si="0"/>
        <v>70000</v>
      </c>
      <c r="J50" s="83"/>
    </row>
    <row r="51" spans="1:10" s="83" customFormat="1" ht="69.75" x14ac:dyDescent="0.2">
      <c r="A51" s="77">
        <v>51</v>
      </c>
      <c r="B51" s="89" t="s">
        <v>32</v>
      </c>
      <c r="C51" s="100"/>
      <c r="D51" s="141">
        <v>10000</v>
      </c>
      <c r="E51" s="122"/>
      <c r="F51" s="129"/>
      <c r="G51" s="81"/>
      <c r="H51" s="80"/>
      <c r="I51" s="82">
        <f t="shared" si="0"/>
        <v>10000</v>
      </c>
      <c r="J51" s="108"/>
    </row>
    <row r="52" spans="1:10" s="98" customFormat="1" x14ac:dyDescent="0.2">
      <c r="A52" s="77">
        <v>52</v>
      </c>
      <c r="B52" s="89" t="s">
        <v>64</v>
      </c>
      <c r="C52" s="100"/>
      <c r="D52" s="141">
        <v>36000</v>
      </c>
      <c r="E52" s="122"/>
      <c r="F52" s="129"/>
      <c r="G52" s="81"/>
      <c r="H52" s="80"/>
      <c r="I52" s="82">
        <f t="shared" si="0"/>
        <v>36000</v>
      </c>
      <c r="J52" s="83"/>
    </row>
    <row r="53" spans="1:10" s="83" customFormat="1" x14ac:dyDescent="0.2">
      <c r="A53" s="77">
        <v>53</v>
      </c>
      <c r="B53" s="89" t="s">
        <v>37</v>
      </c>
      <c r="C53" s="100"/>
      <c r="D53" s="141">
        <v>300000</v>
      </c>
      <c r="E53" s="122"/>
      <c r="F53" s="129"/>
      <c r="G53" s="81"/>
      <c r="H53" s="80"/>
      <c r="I53" s="82">
        <f t="shared" si="0"/>
        <v>300000</v>
      </c>
    </row>
    <row r="54" spans="1:10" s="98" customFormat="1" ht="46.5" x14ac:dyDescent="0.2">
      <c r="A54" s="77">
        <v>55</v>
      </c>
      <c r="B54" s="89" t="s">
        <v>48</v>
      </c>
      <c r="C54" s="100"/>
      <c r="D54" s="141">
        <v>180000</v>
      </c>
      <c r="E54" s="122"/>
      <c r="F54" s="129"/>
      <c r="G54" s="81"/>
      <c r="H54" s="80"/>
      <c r="I54" s="82">
        <f t="shared" si="0"/>
        <v>180000</v>
      </c>
      <c r="J54" s="108"/>
    </row>
    <row r="55" spans="1:10" s="98" customFormat="1" ht="69.75" x14ac:dyDescent="0.2">
      <c r="A55" s="77">
        <v>56</v>
      </c>
      <c r="B55" s="101" t="s">
        <v>45</v>
      </c>
      <c r="C55" s="100"/>
      <c r="D55" s="141">
        <v>20000</v>
      </c>
      <c r="E55" s="122"/>
      <c r="F55" s="129"/>
      <c r="G55" s="81"/>
      <c r="H55" s="80"/>
      <c r="I55" s="82">
        <f t="shared" si="0"/>
        <v>20000</v>
      </c>
      <c r="J55" s="83"/>
    </row>
    <row r="56" spans="1:10" s="98" customFormat="1" ht="46.5" x14ac:dyDescent="0.2">
      <c r="A56" s="77">
        <v>57</v>
      </c>
      <c r="B56" s="102" t="s">
        <v>68</v>
      </c>
      <c r="C56" s="103"/>
      <c r="D56" s="142">
        <v>25000</v>
      </c>
      <c r="E56" s="122"/>
      <c r="F56" s="129"/>
      <c r="G56" s="81"/>
      <c r="H56" s="80"/>
      <c r="I56" s="82">
        <f t="shared" si="0"/>
        <v>25000</v>
      </c>
      <c r="J56" s="83"/>
    </row>
    <row r="57" spans="1:10" s="83" customFormat="1" x14ac:dyDescent="0.2">
      <c r="A57" s="77">
        <v>58</v>
      </c>
      <c r="B57" s="102" t="s">
        <v>46</v>
      </c>
      <c r="C57" s="84"/>
      <c r="D57" s="137">
        <v>40000</v>
      </c>
      <c r="E57" s="122"/>
      <c r="F57" s="129"/>
      <c r="G57" s="81"/>
      <c r="H57" s="80"/>
      <c r="I57" s="82">
        <f t="shared" si="0"/>
        <v>40000</v>
      </c>
      <c r="J57" s="108"/>
    </row>
    <row r="58" spans="1:10" s="83" customFormat="1" x14ac:dyDescent="0.2">
      <c r="A58" s="77">
        <v>59</v>
      </c>
      <c r="B58" s="104" t="s">
        <v>69</v>
      </c>
      <c r="C58" s="84"/>
      <c r="D58" s="137">
        <v>65000</v>
      </c>
      <c r="E58" s="122"/>
      <c r="F58" s="129"/>
      <c r="G58" s="81"/>
      <c r="H58" s="80"/>
      <c r="I58" s="82">
        <f t="shared" si="0"/>
        <v>65000</v>
      </c>
    </row>
    <row r="59" spans="1:10" s="98" customFormat="1" ht="46.5" x14ac:dyDescent="0.2">
      <c r="A59" s="77">
        <v>60</v>
      </c>
      <c r="B59" s="104" t="s">
        <v>70</v>
      </c>
      <c r="C59" s="84"/>
      <c r="D59" s="137">
        <v>50000</v>
      </c>
      <c r="E59" s="122"/>
      <c r="F59" s="129"/>
      <c r="G59" s="81"/>
      <c r="H59" s="80"/>
      <c r="I59" s="82">
        <f t="shared" si="0"/>
        <v>50000</v>
      </c>
      <c r="J59" s="83"/>
    </row>
    <row r="60" spans="1:10" s="98" customFormat="1" ht="58.5" x14ac:dyDescent="0.2">
      <c r="A60" s="77">
        <v>62</v>
      </c>
      <c r="B60" s="105" t="s">
        <v>33</v>
      </c>
      <c r="C60" s="106"/>
      <c r="D60" s="137"/>
      <c r="E60" s="125">
        <v>20000</v>
      </c>
      <c r="F60" s="129"/>
      <c r="G60" s="81"/>
      <c r="H60" s="80"/>
      <c r="I60" s="82">
        <f t="shared" si="0"/>
        <v>20000</v>
      </c>
      <c r="J60" s="108"/>
    </row>
    <row r="61" spans="1:10" s="83" customFormat="1" x14ac:dyDescent="0.2">
      <c r="A61" s="77">
        <v>63</v>
      </c>
      <c r="B61" s="105" t="s">
        <v>71</v>
      </c>
      <c r="C61" s="106"/>
      <c r="D61" s="137"/>
      <c r="E61" s="125">
        <v>5000</v>
      </c>
      <c r="F61" s="129"/>
      <c r="G61" s="81"/>
      <c r="H61" s="80"/>
      <c r="I61" s="82">
        <f t="shared" si="0"/>
        <v>5000</v>
      </c>
    </row>
    <row r="62" spans="1:10" s="98" customFormat="1" x14ac:dyDescent="0.2">
      <c r="A62" s="77">
        <v>64</v>
      </c>
      <c r="B62" s="105" t="s">
        <v>35</v>
      </c>
      <c r="C62" s="106"/>
      <c r="D62" s="137"/>
      <c r="E62" s="125">
        <v>60000</v>
      </c>
      <c r="F62" s="129"/>
      <c r="G62" s="81"/>
      <c r="H62" s="80"/>
      <c r="I62" s="82">
        <f t="shared" si="0"/>
        <v>60000</v>
      </c>
      <c r="J62" s="83"/>
    </row>
    <row r="63" spans="1:10" s="98" customFormat="1" ht="39" x14ac:dyDescent="0.2">
      <c r="A63" s="77">
        <v>65</v>
      </c>
      <c r="B63" s="105" t="s">
        <v>43</v>
      </c>
      <c r="C63" s="106"/>
      <c r="D63" s="137"/>
      <c r="E63" s="125">
        <v>25000</v>
      </c>
      <c r="F63" s="129"/>
      <c r="G63" s="81"/>
      <c r="H63" s="80"/>
      <c r="I63" s="82">
        <f t="shared" si="0"/>
        <v>25000</v>
      </c>
      <c r="J63" s="108"/>
    </row>
    <row r="64" spans="1:10" s="98" customFormat="1" ht="39" x14ac:dyDescent="0.2">
      <c r="A64" s="77">
        <v>66</v>
      </c>
      <c r="B64" s="105" t="s">
        <v>44</v>
      </c>
      <c r="C64" s="106"/>
      <c r="D64" s="137"/>
      <c r="E64" s="125">
        <v>15000</v>
      </c>
      <c r="F64" s="129"/>
      <c r="G64" s="81"/>
      <c r="H64" s="80"/>
      <c r="I64" s="82">
        <f t="shared" si="0"/>
        <v>15000</v>
      </c>
      <c r="J64" s="83"/>
    </row>
    <row r="65" spans="1:10" s="98" customFormat="1" x14ac:dyDescent="0.2">
      <c r="A65" s="77">
        <v>67</v>
      </c>
      <c r="B65" s="105" t="s">
        <v>72</v>
      </c>
      <c r="C65" s="106"/>
      <c r="D65" s="137"/>
      <c r="E65" s="125">
        <v>50000</v>
      </c>
      <c r="F65" s="129"/>
      <c r="G65" s="81"/>
      <c r="H65" s="80"/>
      <c r="I65" s="82">
        <f t="shared" ref="I65:I83" si="1">C65+D65+E65+F65+G65+H65</f>
        <v>50000</v>
      </c>
      <c r="J65" s="83"/>
    </row>
    <row r="66" spans="1:10" s="98" customFormat="1" ht="58.5" x14ac:dyDescent="0.2">
      <c r="A66" s="77">
        <v>68</v>
      </c>
      <c r="B66" s="105" t="s">
        <v>95</v>
      </c>
      <c r="C66" s="107"/>
      <c r="D66" s="137"/>
      <c r="E66" s="126">
        <v>30000</v>
      </c>
      <c r="F66" s="129"/>
      <c r="G66" s="81"/>
      <c r="H66" s="80"/>
      <c r="I66" s="82">
        <f t="shared" si="1"/>
        <v>30000</v>
      </c>
      <c r="J66" s="108"/>
    </row>
    <row r="67" spans="1:10" s="108" customFormat="1" x14ac:dyDescent="0.2">
      <c r="A67" s="77">
        <v>70</v>
      </c>
      <c r="B67" s="89" t="s">
        <v>135</v>
      </c>
      <c r="C67" s="84"/>
      <c r="D67" s="137"/>
      <c r="E67" s="122"/>
      <c r="F67" s="130">
        <v>10000</v>
      </c>
      <c r="G67" s="81"/>
      <c r="H67" s="80"/>
      <c r="I67" s="82">
        <f t="shared" si="1"/>
        <v>10000</v>
      </c>
      <c r="J67" s="83"/>
    </row>
    <row r="68" spans="1:10" s="98" customFormat="1" ht="93" x14ac:dyDescent="0.2">
      <c r="A68" s="77">
        <v>71</v>
      </c>
      <c r="B68" s="89" t="s">
        <v>30</v>
      </c>
      <c r="C68" s="84"/>
      <c r="D68" s="137"/>
      <c r="E68" s="122"/>
      <c r="F68" s="130">
        <v>15000</v>
      </c>
      <c r="G68" s="81"/>
      <c r="H68" s="80"/>
      <c r="I68" s="82">
        <f t="shared" si="1"/>
        <v>15000</v>
      </c>
      <c r="J68" s="83"/>
    </row>
    <row r="69" spans="1:10" s="108" customFormat="1" x14ac:dyDescent="0.2">
      <c r="A69" s="77">
        <v>72</v>
      </c>
      <c r="B69" s="89" t="s">
        <v>34</v>
      </c>
      <c r="C69" s="84"/>
      <c r="D69" s="137"/>
      <c r="E69" s="122"/>
      <c r="F69" s="130">
        <v>20000</v>
      </c>
      <c r="G69" s="81"/>
      <c r="H69" s="80"/>
      <c r="I69" s="82">
        <f t="shared" si="1"/>
        <v>20000</v>
      </c>
    </row>
    <row r="70" spans="1:10" s="98" customFormat="1" ht="46.5" x14ac:dyDescent="0.2">
      <c r="A70" s="77">
        <v>73</v>
      </c>
      <c r="B70" s="89" t="s">
        <v>36</v>
      </c>
      <c r="C70" s="84"/>
      <c r="D70" s="137"/>
      <c r="E70" s="122"/>
      <c r="F70" s="130">
        <v>15000</v>
      </c>
      <c r="G70" s="81"/>
      <c r="H70" s="80"/>
      <c r="I70" s="82">
        <f t="shared" si="1"/>
        <v>15000</v>
      </c>
      <c r="J70" s="83"/>
    </row>
    <row r="71" spans="1:10" s="109" customFormat="1" ht="46.5" x14ac:dyDescent="0.2">
      <c r="A71" s="77">
        <v>74</v>
      </c>
      <c r="B71" s="89" t="s">
        <v>38</v>
      </c>
      <c r="C71" s="84"/>
      <c r="D71" s="137"/>
      <c r="E71" s="122"/>
      <c r="F71" s="130">
        <v>100000</v>
      </c>
      <c r="G71" s="81"/>
      <c r="H71" s="80"/>
      <c r="I71" s="82">
        <f t="shared" si="1"/>
        <v>100000</v>
      </c>
      <c r="J71" s="83"/>
    </row>
    <row r="72" spans="1:10" s="98" customFormat="1" x14ac:dyDescent="0.2">
      <c r="A72" s="77">
        <v>75</v>
      </c>
      <c r="B72" s="89" t="s">
        <v>39</v>
      </c>
      <c r="C72" s="84"/>
      <c r="D72" s="137"/>
      <c r="E72" s="122"/>
      <c r="F72" s="130">
        <v>50000</v>
      </c>
      <c r="G72" s="81"/>
      <c r="H72" s="80"/>
      <c r="I72" s="82">
        <f t="shared" si="1"/>
        <v>50000</v>
      </c>
      <c r="J72" s="108"/>
    </row>
    <row r="73" spans="1:10" s="98" customFormat="1" ht="46.5" x14ac:dyDescent="0.2">
      <c r="A73" s="77">
        <v>76</v>
      </c>
      <c r="B73" s="89" t="s">
        <v>40</v>
      </c>
      <c r="C73" s="84"/>
      <c r="D73" s="137"/>
      <c r="E73" s="122"/>
      <c r="F73" s="130">
        <v>8000</v>
      </c>
      <c r="G73" s="81"/>
      <c r="H73" s="80"/>
      <c r="I73" s="82">
        <f t="shared" si="1"/>
        <v>8000</v>
      </c>
      <c r="J73" s="83"/>
    </row>
    <row r="74" spans="1:10" s="98" customFormat="1" ht="46.5" x14ac:dyDescent="0.2">
      <c r="A74" s="77">
        <v>77</v>
      </c>
      <c r="B74" s="89" t="s">
        <v>42</v>
      </c>
      <c r="C74" s="84"/>
      <c r="D74" s="137"/>
      <c r="E74" s="122"/>
      <c r="F74" s="130">
        <v>30000</v>
      </c>
      <c r="G74" s="81"/>
      <c r="H74" s="80"/>
      <c r="I74" s="82">
        <f t="shared" si="1"/>
        <v>30000</v>
      </c>
      <c r="J74" s="83"/>
    </row>
    <row r="75" spans="1:10" s="98" customFormat="1" x14ac:dyDescent="0.2">
      <c r="A75" s="77">
        <v>78</v>
      </c>
      <c r="B75" s="102" t="s">
        <v>47</v>
      </c>
      <c r="C75" s="84"/>
      <c r="D75" s="137"/>
      <c r="E75" s="122"/>
      <c r="F75" s="130">
        <v>50000</v>
      </c>
      <c r="G75" s="81"/>
      <c r="H75" s="80"/>
      <c r="I75" s="82">
        <f t="shared" si="1"/>
        <v>50000</v>
      </c>
      <c r="J75" s="108"/>
    </row>
    <row r="76" spans="1:10" s="98" customFormat="1" ht="93" x14ac:dyDescent="0.2">
      <c r="A76" s="77">
        <v>79</v>
      </c>
      <c r="B76" s="110" t="s">
        <v>73</v>
      </c>
      <c r="C76" s="111"/>
      <c r="D76" s="137"/>
      <c r="E76" s="122"/>
      <c r="F76" s="132">
        <v>80000</v>
      </c>
      <c r="G76" s="81"/>
      <c r="H76" s="80"/>
      <c r="I76" s="82">
        <f t="shared" si="1"/>
        <v>80000</v>
      </c>
      <c r="J76" s="83"/>
    </row>
    <row r="77" spans="1:10" s="83" customFormat="1" x14ac:dyDescent="0.2">
      <c r="A77" s="77">
        <v>80</v>
      </c>
      <c r="B77" s="112" t="s">
        <v>100</v>
      </c>
      <c r="C77" s="84"/>
      <c r="D77" s="137"/>
      <c r="E77" s="122"/>
      <c r="F77" s="129"/>
      <c r="G77" s="87">
        <v>50000</v>
      </c>
      <c r="H77" s="80"/>
      <c r="I77" s="82">
        <f t="shared" si="1"/>
        <v>50000</v>
      </c>
    </row>
    <row r="78" spans="1:10" s="83" customFormat="1" ht="69.75" x14ac:dyDescent="0.2">
      <c r="A78" s="77">
        <v>81</v>
      </c>
      <c r="B78" s="89" t="s">
        <v>106</v>
      </c>
      <c r="C78" s="84"/>
      <c r="D78" s="137"/>
      <c r="E78" s="122"/>
      <c r="F78" s="129"/>
      <c r="G78" s="81"/>
      <c r="H78" s="84">
        <v>20000</v>
      </c>
      <c r="I78" s="82">
        <f t="shared" si="1"/>
        <v>20000</v>
      </c>
      <c r="J78" s="108"/>
    </row>
    <row r="79" spans="1:10" s="83" customFormat="1" ht="46.5" x14ac:dyDescent="0.2">
      <c r="A79" s="77">
        <v>82</v>
      </c>
      <c r="B79" s="89" t="s">
        <v>107</v>
      </c>
      <c r="C79" s="84"/>
      <c r="D79" s="137"/>
      <c r="E79" s="122"/>
      <c r="F79" s="129"/>
      <c r="G79" s="81"/>
      <c r="H79" s="84">
        <v>30000</v>
      </c>
      <c r="I79" s="82">
        <f t="shared" si="1"/>
        <v>30000</v>
      </c>
    </row>
    <row r="80" spans="1:10" s="83" customFormat="1" x14ac:dyDescent="0.2">
      <c r="A80" s="77">
        <v>83</v>
      </c>
      <c r="B80" s="110" t="s">
        <v>108</v>
      </c>
      <c r="C80" s="84"/>
      <c r="D80" s="137"/>
      <c r="E80" s="122"/>
      <c r="F80" s="129"/>
      <c r="G80" s="81"/>
      <c r="H80" s="84">
        <v>20000</v>
      </c>
      <c r="I80" s="82">
        <f t="shared" si="1"/>
        <v>20000</v>
      </c>
    </row>
    <row r="81" spans="1:10" s="83" customFormat="1" x14ac:dyDescent="0.2">
      <c r="A81" s="77">
        <v>84</v>
      </c>
      <c r="B81" s="110" t="s">
        <v>109</v>
      </c>
      <c r="C81" s="84"/>
      <c r="D81" s="137"/>
      <c r="E81" s="122"/>
      <c r="F81" s="129"/>
      <c r="G81" s="81"/>
      <c r="H81" s="84">
        <v>5000</v>
      </c>
      <c r="I81" s="82">
        <f t="shared" si="1"/>
        <v>5000</v>
      </c>
      <c r="J81" s="108"/>
    </row>
    <row r="82" spans="1:10" s="83" customFormat="1" x14ac:dyDescent="0.2">
      <c r="A82" s="77">
        <v>85</v>
      </c>
      <c r="B82" s="110" t="s">
        <v>110</v>
      </c>
      <c r="C82" s="84"/>
      <c r="D82" s="137"/>
      <c r="E82" s="122"/>
      <c r="F82" s="129"/>
      <c r="G82" s="81"/>
      <c r="H82" s="84">
        <v>5000</v>
      </c>
      <c r="I82" s="82">
        <f t="shared" si="1"/>
        <v>5000</v>
      </c>
    </row>
    <row r="83" spans="1:10" x14ac:dyDescent="0.2">
      <c r="A83" s="322" t="s">
        <v>117</v>
      </c>
      <c r="B83" s="323"/>
      <c r="C83" s="84">
        <f t="shared" ref="C83:H83" si="2">SUM(C2:C82)</f>
        <v>3204938</v>
      </c>
      <c r="D83" s="137">
        <f t="shared" si="2"/>
        <v>1914787</v>
      </c>
      <c r="E83" s="122">
        <f t="shared" si="2"/>
        <v>737625</v>
      </c>
      <c r="F83" s="130">
        <f t="shared" si="2"/>
        <v>828026</v>
      </c>
      <c r="G83" s="84">
        <f t="shared" si="2"/>
        <v>543892</v>
      </c>
      <c r="H83" s="84">
        <f t="shared" si="2"/>
        <v>492632</v>
      </c>
      <c r="I83" s="82">
        <f t="shared" si="1"/>
        <v>7721900</v>
      </c>
      <c r="J83" s="83"/>
    </row>
  </sheetData>
  <mergeCells count="1">
    <mergeCell ref="A83:B83"/>
  </mergeCells>
  <pageMargins left="0.70866141732283472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9010-5411-4D49-9D4B-0C1F96F106DC}">
  <sheetPr>
    <tabColor rgb="FFFF0000"/>
  </sheetPr>
  <dimension ref="A1:H55"/>
  <sheetViews>
    <sheetView zoomScale="90" zoomScaleNormal="90" workbookViewId="0">
      <pane ySplit="1" topLeftCell="A2" activePane="bottomLeft" state="frozen"/>
      <selection pane="bottomLeft" activeCell="H11" sqref="H11"/>
    </sheetView>
  </sheetViews>
  <sheetFormatPr defaultColWidth="9" defaultRowHeight="23.25" x14ac:dyDescent="0.35"/>
  <cols>
    <col min="1" max="1" width="6.25" style="5" customWidth="1"/>
    <col min="2" max="2" width="43.125" style="45" customWidth="1"/>
    <col min="3" max="3" width="30.625" style="8" customWidth="1"/>
    <col min="4" max="6" width="15.625" style="8" customWidth="1"/>
    <col min="7" max="7" width="17.875" style="8" customWidth="1"/>
    <col min="8" max="8" width="38.375" style="5" customWidth="1"/>
    <col min="9" max="9" width="27.125" style="5" customWidth="1"/>
    <col min="10" max="10" width="29.875" style="5" customWidth="1"/>
    <col min="11" max="16384" width="9" style="5"/>
  </cols>
  <sheetData>
    <row r="1" spans="1:8" s="3" customFormat="1" ht="45" customHeight="1" x14ac:dyDescent="0.35">
      <c r="A1" s="2" t="s">
        <v>0</v>
      </c>
      <c r="B1" s="38" t="s">
        <v>1</v>
      </c>
      <c r="C1" s="33" t="s">
        <v>4</v>
      </c>
      <c r="D1" s="33" t="s">
        <v>65</v>
      </c>
      <c r="E1" s="33" t="s">
        <v>67</v>
      </c>
      <c r="F1" s="152">
        <v>25112</v>
      </c>
      <c r="G1" s="33" t="s">
        <v>66</v>
      </c>
    </row>
    <row r="2" spans="1:8" ht="24.95" customHeight="1" x14ac:dyDescent="0.35">
      <c r="A2" s="2">
        <v>1</v>
      </c>
      <c r="B2" s="39" t="s">
        <v>6</v>
      </c>
      <c r="C2" s="34">
        <v>408000</v>
      </c>
      <c r="D2" s="34"/>
      <c r="E2" s="34"/>
      <c r="F2" s="34"/>
      <c r="G2" s="34">
        <f>C2-D2+E2-F2</f>
        <v>408000</v>
      </c>
    </row>
    <row r="3" spans="1:8" ht="24.95" customHeight="1" x14ac:dyDescent="0.35">
      <c r="A3" s="2">
        <v>2</v>
      </c>
      <c r="B3" s="39" t="s">
        <v>7</v>
      </c>
      <c r="C3" s="34">
        <v>120000</v>
      </c>
      <c r="D3" s="34"/>
      <c r="E3" s="34"/>
      <c r="F3" s="34"/>
      <c r="G3" s="34">
        <f t="shared" ref="G3:G39" si="0">C3-D3+E3-F3</f>
        <v>120000</v>
      </c>
    </row>
    <row r="4" spans="1:8" ht="24.95" customHeight="1" x14ac:dyDescent="0.35">
      <c r="A4" s="2">
        <v>3</v>
      </c>
      <c r="B4" s="37" t="s">
        <v>9</v>
      </c>
      <c r="C4" s="4">
        <v>5000</v>
      </c>
      <c r="D4" s="4"/>
      <c r="E4" s="4"/>
      <c r="F4" s="4"/>
      <c r="G4" s="34">
        <f t="shared" si="0"/>
        <v>5000</v>
      </c>
    </row>
    <row r="5" spans="1:8" ht="24.95" customHeight="1" x14ac:dyDescent="0.35">
      <c r="A5" s="2">
        <v>4</v>
      </c>
      <c r="B5" s="37" t="s">
        <v>49</v>
      </c>
      <c r="C5" s="4">
        <v>120000</v>
      </c>
      <c r="D5" s="4"/>
      <c r="E5" s="4"/>
      <c r="F5" s="4"/>
      <c r="G5" s="34">
        <f t="shared" si="0"/>
        <v>120000</v>
      </c>
    </row>
    <row r="6" spans="1:8" ht="24.95" customHeight="1" x14ac:dyDescent="0.35">
      <c r="A6" s="2">
        <v>5</v>
      </c>
      <c r="B6" s="37" t="s">
        <v>10</v>
      </c>
      <c r="C6" s="4">
        <v>40000</v>
      </c>
      <c r="D6" s="4"/>
      <c r="E6" s="4"/>
      <c r="F6" s="4"/>
      <c r="G6" s="34">
        <f t="shared" si="0"/>
        <v>40000</v>
      </c>
    </row>
    <row r="7" spans="1:8" ht="24.95" customHeight="1" x14ac:dyDescent="0.35">
      <c r="A7" s="2">
        <v>6</v>
      </c>
      <c r="B7" s="37" t="s">
        <v>11</v>
      </c>
      <c r="C7" s="4">
        <v>186000</v>
      </c>
      <c r="D7" s="4"/>
      <c r="E7" s="4"/>
      <c r="F7" s="4"/>
      <c r="G7" s="34">
        <f t="shared" si="0"/>
        <v>186000</v>
      </c>
    </row>
    <row r="8" spans="1:8" ht="24.95" customHeight="1" x14ac:dyDescent="0.35">
      <c r="A8" s="2">
        <v>7</v>
      </c>
      <c r="B8" s="37" t="s">
        <v>12</v>
      </c>
      <c r="C8" s="4">
        <v>18000</v>
      </c>
      <c r="D8" s="4"/>
      <c r="E8" s="4"/>
      <c r="F8" s="4"/>
      <c r="G8" s="34">
        <f t="shared" si="0"/>
        <v>18000</v>
      </c>
    </row>
    <row r="9" spans="1:8" ht="24.95" customHeight="1" x14ac:dyDescent="0.35">
      <c r="A9" s="2">
        <v>8</v>
      </c>
      <c r="B9" s="37" t="s">
        <v>13</v>
      </c>
      <c r="C9" s="4">
        <v>20000</v>
      </c>
      <c r="D9" s="4"/>
      <c r="E9" s="4"/>
      <c r="F9" s="4"/>
      <c r="G9" s="34">
        <f t="shared" si="0"/>
        <v>20000</v>
      </c>
    </row>
    <row r="10" spans="1:8" ht="24.95" customHeight="1" x14ac:dyDescent="0.35">
      <c r="A10" s="2">
        <v>9</v>
      </c>
      <c r="B10" s="37" t="s">
        <v>14</v>
      </c>
      <c r="C10" s="4">
        <v>10000</v>
      </c>
      <c r="D10" s="4"/>
      <c r="E10" s="4"/>
      <c r="F10" s="4"/>
      <c r="G10" s="34">
        <f t="shared" si="0"/>
        <v>10000</v>
      </c>
    </row>
    <row r="11" spans="1:8" ht="24.95" customHeight="1" x14ac:dyDescent="0.35">
      <c r="A11" s="2">
        <v>10</v>
      </c>
      <c r="B11" s="37" t="s">
        <v>15</v>
      </c>
      <c r="C11" s="4">
        <v>250000</v>
      </c>
      <c r="D11" s="4"/>
      <c r="E11" s="4"/>
      <c r="F11" s="4">
        <v>13442.44</v>
      </c>
      <c r="G11" s="34">
        <f t="shared" si="0"/>
        <v>236557.56</v>
      </c>
      <c r="H11" s="5" t="s">
        <v>137</v>
      </c>
    </row>
    <row r="12" spans="1:8" s="48" customFormat="1" ht="24.95" customHeight="1" x14ac:dyDescent="0.35">
      <c r="A12" s="2">
        <v>11</v>
      </c>
      <c r="B12" s="46" t="s">
        <v>16</v>
      </c>
      <c r="C12" s="47">
        <v>100000</v>
      </c>
      <c r="D12" s="47"/>
      <c r="E12" s="47"/>
      <c r="F12" s="47"/>
      <c r="G12" s="34">
        <f t="shared" si="0"/>
        <v>100000</v>
      </c>
    </row>
    <row r="13" spans="1:8" ht="24.95" customHeight="1" x14ac:dyDescent="0.35">
      <c r="A13" s="2">
        <v>12</v>
      </c>
      <c r="B13" s="37" t="s">
        <v>17</v>
      </c>
      <c r="C13" s="4"/>
      <c r="D13" s="4"/>
      <c r="E13" s="4"/>
      <c r="F13" s="4"/>
      <c r="G13" s="34">
        <f t="shared" si="0"/>
        <v>0</v>
      </c>
    </row>
    <row r="14" spans="1:8" ht="24.95" customHeight="1" x14ac:dyDescent="0.35">
      <c r="A14" s="2">
        <v>13</v>
      </c>
      <c r="B14" s="37" t="s">
        <v>18</v>
      </c>
      <c r="C14" s="4">
        <v>60000</v>
      </c>
      <c r="D14" s="4"/>
      <c r="E14" s="4"/>
      <c r="F14" s="4"/>
      <c r="G14" s="34">
        <f t="shared" si="0"/>
        <v>60000</v>
      </c>
    </row>
    <row r="15" spans="1:8" ht="24.95" customHeight="1" x14ac:dyDescent="0.35">
      <c r="A15" s="2">
        <v>14</v>
      </c>
      <c r="B15" s="37" t="s">
        <v>19</v>
      </c>
      <c r="C15" s="4">
        <v>10000</v>
      </c>
      <c r="D15" s="4"/>
      <c r="E15" s="4"/>
      <c r="F15" s="4"/>
      <c r="G15" s="34">
        <f t="shared" si="0"/>
        <v>10000</v>
      </c>
    </row>
    <row r="16" spans="1:8" ht="24.95" customHeight="1" x14ac:dyDescent="0.35">
      <c r="A16" s="2">
        <v>15</v>
      </c>
      <c r="B16" s="37" t="s">
        <v>20</v>
      </c>
      <c r="C16" s="4">
        <v>10000</v>
      </c>
      <c r="D16" s="4"/>
      <c r="E16" s="4"/>
      <c r="F16" s="4"/>
      <c r="G16" s="34">
        <f t="shared" si="0"/>
        <v>10000</v>
      </c>
    </row>
    <row r="17" spans="1:8" ht="24.95" customHeight="1" x14ac:dyDescent="0.35">
      <c r="A17" s="2">
        <v>16</v>
      </c>
      <c r="B17" s="37" t="s">
        <v>24</v>
      </c>
      <c r="C17" s="4">
        <v>10000</v>
      </c>
      <c r="D17" s="4"/>
      <c r="E17" s="4"/>
      <c r="F17" s="4"/>
      <c r="G17" s="34">
        <f t="shared" si="0"/>
        <v>10000</v>
      </c>
    </row>
    <row r="18" spans="1:8" ht="24.95" customHeight="1" x14ac:dyDescent="0.35">
      <c r="A18" s="2">
        <v>17</v>
      </c>
      <c r="B18" s="37" t="s">
        <v>25</v>
      </c>
      <c r="C18" s="4">
        <v>10000</v>
      </c>
      <c r="D18" s="4"/>
      <c r="E18" s="4"/>
      <c r="F18" s="4"/>
      <c r="G18" s="34">
        <f t="shared" si="0"/>
        <v>10000</v>
      </c>
    </row>
    <row r="19" spans="1:8" ht="24.95" customHeight="1" x14ac:dyDescent="0.35">
      <c r="A19" s="2">
        <v>18</v>
      </c>
      <c r="B19" s="37" t="s">
        <v>26</v>
      </c>
      <c r="C19" s="4">
        <v>50000</v>
      </c>
      <c r="D19" s="4"/>
      <c r="E19" s="4"/>
      <c r="F19" s="4"/>
      <c r="G19" s="34">
        <f t="shared" si="0"/>
        <v>50000</v>
      </c>
    </row>
    <row r="20" spans="1:8" ht="24.95" customHeight="1" x14ac:dyDescent="0.35">
      <c r="A20" s="2">
        <v>19</v>
      </c>
      <c r="B20" s="37" t="s">
        <v>78</v>
      </c>
      <c r="C20" s="4">
        <v>10000</v>
      </c>
      <c r="D20" s="4"/>
      <c r="E20" s="4"/>
      <c r="F20" s="4"/>
      <c r="G20" s="34">
        <f t="shared" si="0"/>
        <v>10000</v>
      </c>
    </row>
    <row r="21" spans="1:8" ht="24.95" customHeight="1" x14ac:dyDescent="0.35">
      <c r="A21" s="2">
        <v>20</v>
      </c>
      <c r="B21" s="37" t="s">
        <v>27</v>
      </c>
      <c r="C21" s="4">
        <v>42000</v>
      </c>
      <c r="D21" s="4"/>
      <c r="E21" s="4"/>
      <c r="F21" s="4"/>
      <c r="G21" s="34">
        <f t="shared" si="0"/>
        <v>42000</v>
      </c>
    </row>
    <row r="22" spans="1:8" ht="24.75" customHeight="1" x14ac:dyDescent="0.35">
      <c r="A22" s="2">
        <v>21</v>
      </c>
      <c r="B22" s="37" t="s">
        <v>28</v>
      </c>
      <c r="C22" s="4">
        <v>365700</v>
      </c>
      <c r="D22" s="4"/>
      <c r="E22" s="4"/>
      <c r="F22" s="4"/>
      <c r="G22" s="34">
        <f t="shared" si="0"/>
        <v>365700</v>
      </c>
    </row>
    <row r="23" spans="1:8" ht="24.75" customHeight="1" x14ac:dyDescent="0.35">
      <c r="A23" s="2"/>
      <c r="B23" s="37" t="s">
        <v>105</v>
      </c>
      <c r="C23" s="4">
        <v>21000</v>
      </c>
      <c r="D23" s="4"/>
      <c r="E23" s="4"/>
      <c r="F23" s="4"/>
      <c r="G23" s="34">
        <f t="shared" si="0"/>
        <v>21000</v>
      </c>
      <c r="H23" s="5" t="s">
        <v>128</v>
      </c>
    </row>
    <row r="24" spans="1:8" ht="46.5" x14ac:dyDescent="0.35">
      <c r="A24" s="2">
        <v>22</v>
      </c>
      <c r="B24" s="40" t="s">
        <v>50</v>
      </c>
      <c r="C24" s="30">
        <v>60000</v>
      </c>
      <c r="D24" s="4"/>
      <c r="E24" s="4"/>
      <c r="F24" s="4"/>
      <c r="G24" s="34">
        <f t="shared" si="0"/>
        <v>60000</v>
      </c>
    </row>
    <row r="25" spans="1:8" x14ac:dyDescent="0.35">
      <c r="A25" s="2">
        <v>23</v>
      </c>
      <c r="B25" s="41" t="s">
        <v>51</v>
      </c>
      <c r="C25" s="30">
        <v>80000</v>
      </c>
      <c r="D25" s="4"/>
      <c r="E25" s="4"/>
      <c r="F25" s="4"/>
      <c r="G25" s="34">
        <f t="shared" si="0"/>
        <v>80000</v>
      </c>
    </row>
    <row r="26" spans="1:8" x14ac:dyDescent="0.35">
      <c r="A26" s="2">
        <v>24</v>
      </c>
      <c r="B26" s="42" t="s">
        <v>31</v>
      </c>
      <c r="C26" s="30">
        <v>70000</v>
      </c>
      <c r="D26" s="4"/>
      <c r="E26" s="4"/>
      <c r="F26" s="4"/>
      <c r="G26" s="34">
        <f t="shared" si="0"/>
        <v>70000</v>
      </c>
    </row>
    <row r="27" spans="1:8" ht="46.5" x14ac:dyDescent="0.35">
      <c r="A27" s="2">
        <v>25</v>
      </c>
      <c r="B27" s="43" t="s">
        <v>75</v>
      </c>
      <c r="C27" s="31">
        <v>25000</v>
      </c>
      <c r="D27" s="4"/>
      <c r="E27" s="4"/>
      <c r="F27" s="4"/>
      <c r="G27" s="34">
        <f t="shared" si="0"/>
        <v>25000</v>
      </c>
    </row>
    <row r="28" spans="1:8" ht="46.5" x14ac:dyDescent="0.35">
      <c r="A28" s="2">
        <v>26</v>
      </c>
      <c r="B28" s="44" t="s">
        <v>52</v>
      </c>
      <c r="C28" s="32">
        <v>200000</v>
      </c>
      <c r="D28" s="4"/>
      <c r="E28" s="4"/>
      <c r="F28" s="4"/>
      <c r="G28" s="34">
        <f t="shared" si="0"/>
        <v>200000</v>
      </c>
    </row>
    <row r="29" spans="1:8" ht="46.5" x14ac:dyDescent="0.35">
      <c r="A29" s="2">
        <v>27</v>
      </c>
      <c r="B29" s="42" t="s">
        <v>76</v>
      </c>
      <c r="C29" s="30">
        <v>20000</v>
      </c>
      <c r="D29" s="4"/>
      <c r="E29" s="4"/>
      <c r="F29" s="4"/>
      <c r="G29" s="34">
        <f t="shared" si="0"/>
        <v>20000</v>
      </c>
    </row>
    <row r="30" spans="1:8" ht="46.5" x14ac:dyDescent="0.35">
      <c r="A30" s="2">
        <v>28</v>
      </c>
      <c r="B30" s="44" t="s">
        <v>53</v>
      </c>
      <c r="C30" s="30">
        <v>70000</v>
      </c>
      <c r="D30" s="49"/>
      <c r="E30" s="49"/>
      <c r="F30" s="49"/>
      <c r="G30" s="34">
        <f t="shared" si="0"/>
        <v>70000</v>
      </c>
    </row>
    <row r="31" spans="1:8" ht="46.5" x14ac:dyDescent="0.35">
      <c r="A31" s="2">
        <v>29</v>
      </c>
      <c r="B31" s="44" t="s">
        <v>54</v>
      </c>
      <c r="C31" s="30">
        <v>120000</v>
      </c>
      <c r="D31" s="4"/>
      <c r="E31" s="4"/>
      <c r="F31" s="4"/>
      <c r="G31" s="34">
        <f t="shared" si="0"/>
        <v>120000</v>
      </c>
    </row>
    <row r="32" spans="1:8" ht="46.5" x14ac:dyDescent="0.35">
      <c r="A32" s="2">
        <v>30</v>
      </c>
      <c r="B32" s="42" t="s">
        <v>55</v>
      </c>
      <c r="C32" s="30">
        <v>10000</v>
      </c>
      <c r="D32" s="4"/>
      <c r="E32" s="4"/>
      <c r="F32" s="4"/>
      <c r="G32" s="34">
        <f t="shared" si="0"/>
        <v>10000</v>
      </c>
    </row>
    <row r="33" spans="1:7" ht="53.25" customHeight="1" x14ac:dyDescent="0.35">
      <c r="A33" s="2">
        <v>31</v>
      </c>
      <c r="B33" s="42" t="s">
        <v>56</v>
      </c>
      <c r="C33" s="30">
        <v>350000</v>
      </c>
      <c r="D33" s="4"/>
      <c r="E33" s="4"/>
      <c r="F33" s="4"/>
      <c r="G33" s="34">
        <f t="shared" si="0"/>
        <v>350000</v>
      </c>
    </row>
    <row r="34" spans="1:7" x14ac:dyDescent="0.35">
      <c r="A34" s="2">
        <v>32</v>
      </c>
      <c r="B34" s="44" t="s">
        <v>57</v>
      </c>
      <c r="C34" s="30">
        <v>45000</v>
      </c>
      <c r="D34" s="4"/>
      <c r="E34" s="4"/>
      <c r="F34" s="4"/>
      <c r="G34" s="34">
        <f t="shared" si="0"/>
        <v>45000</v>
      </c>
    </row>
    <row r="35" spans="1:7" ht="46.5" x14ac:dyDescent="0.35">
      <c r="A35" s="2">
        <v>33</v>
      </c>
      <c r="B35" s="44" t="s">
        <v>58</v>
      </c>
      <c r="C35" s="30">
        <v>35000</v>
      </c>
      <c r="D35" s="4"/>
      <c r="E35" s="4"/>
      <c r="F35" s="4"/>
      <c r="G35" s="34">
        <f t="shared" si="0"/>
        <v>35000</v>
      </c>
    </row>
    <row r="36" spans="1:7" ht="46.5" x14ac:dyDescent="0.35">
      <c r="A36" s="2">
        <v>34</v>
      </c>
      <c r="B36" s="44" t="s">
        <v>112</v>
      </c>
      <c r="C36" s="30">
        <v>50000</v>
      </c>
      <c r="D36" s="4"/>
      <c r="E36" s="4"/>
      <c r="F36" s="4"/>
      <c r="G36" s="34">
        <f t="shared" si="0"/>
        <v>50000</v>
      </c>
    </row>
    <row r="37" spans="1:7" ht="46.5" x14ac:dyDescent="0.35">
      <c r="A37" s="2">
        <v>35</v>
      </c>
      <c r="B37" s="44" t="s">
        <v>59</v>
      </c>
      <c r="C37" s="30">
        <v>25000</v>
      </c>
      <c r="D37" s="4"/>
      <c r="E37" s="4"/>
      <c r="F37" s="4"/>
      <c r="G37" s="34">
        <f t="shared" si="0"/>
        <v>25000</v>
      </c>
    </row>
    <row r="38" spans="1:7" ht="46.5" x14ac:dyDescent="0.35">
      <c r="A38" s="2">
        <v>36</v>
      </c>
      <c r="B38" s="44" t="s">
        <v>60</v>
      </c>
      <c r="C38" s="30">
        <v>40000</v>
      </c>
      <c r="D38" s="4"/>
      <c r="E38" s="4"/>
      <c r="F38" s="4"/>
      <c r="G38" s="34">
        <f t="shared" si="0"/>
        <v>40000</v>
      </c>
    </row>
    <row r="39" spans="1:7" x14ac:dyDescent="0.35">
      <c r="A39" s="2">
        <v>37</v>
      </c>
      <c r="B39" s="42" t="s">
        <v>77</v>
      </c>
      <c r="C39" s="30">
        <v>50000</v>
      </c>
      <c r="D39" s="4"/>
      <c r="E39" s="4"/>
      <c r="F39" s="4"/>
      <c r="G39" s="34">
        <f t="shared" si="0"/>
        <v>50000</v>
      </c>
    </row>
    <row r="40" spans="1:7" x14ac:dyDescent="0.2">
      <c r="A40" s="324" t="s">
        <v>5</v>
      </c>
      <c r="B40" s="324"/>
      <c r="C40" s="35">
        <f>SUM(C2:C39)</f>
        <v>3115700</v>
      </c>
      <c r="D40" s="35"/>
      <c r="E40" s="35"/>
      <c r="F40" s="35"/>
      <c r="G40" s="36">
        <f>SUM(G2:G39)</f>
        <v>3102257.56</v>
      </c>
    </row>
    <row r="41" spans="1:7" x14ac:dyDescent="0.35">
      <c r="C41" s="7"/>
      <c r="D41" s="7"/>
      <c r="E41" s="7"/>
      <c r="F41" s="7"/>
      <c r="G41" s="7"/>
    </row>
    <row r="42" spans="1:7" x14ac:dyDescent="0.35">
      <c r="C42" s="7"/>
      <c r="D42" s="7"/>
      <c r="E42" s="7"/>
      <c r="F42" s="7"/>
      <c r="G42" s="7"/>
    </row>
    <row r="43" spans="1:7" x14ac:dyDescent="0.35">
      <c r="C43" s="7"/>
      <c r="D43" s="7"/>
      <c r="E43" s="7"/>
      <c r="F43" s="7"/>
      <c r="G43" s="7"/>
    </row>
    <row r="44" spans="1:7" x14ac:dyDescent="0.35">
      <c r="C44" s="7"/>
      <c r="D44" s="7"/>
      <c r="E44" s="7"/>
      <c r="F44" s="7"/>
      <c r="G44" s="7"/>
    </row>
    <row r="45" spans="1:7" x14ac:dyDescent="0.35">
      <c r="C45" s="7"/>
      <c r="D45" s="7"/>
      <c r="E45" s="7"/>
      <c r="F45" s="7"/>
      <c r="G45" s="7"/>
    </row>
    <row r="46" spans="1:7" x14ac:dyDescent="0.35">
      <c r="C46" s="7"/>
      <c r="D46" s="7"/>
      <c r="E46" s="7"/>
      <c r="F46" s="7"/>
      <c r="G46" s="7"/>
    </row>
    <row r="47" spans="1:7" x14ac:dyDescent="0.35">
      <c r="C47" s="7"/>
      <c r="D47" s="7"/>
      <c r="E47" s="7"/>
      <c r="F47" s="7"/>
      <c r="G47" s="7"/>
    </row>
    <row r="48" spans="1:7" x14ac:dyDescent="0.35">
      <c r="C48" s="7"/>
      <c r="D48" s="7"/>
      <c r="E48" s="7"/>
      <c r="F48" s="7"/>
      <c r="G48" s="7"/>
    </row>
    <row r="49" spans="3:7" x14ac:dyDescent="0.35">
      <c r="C49" s="7"/>
      <c r="D49" s="7"/>
      <c r="E49" s="7"/>
      <c r="F49" s="7"/>
      <c r="G49" s="7"/>
    </row>
    <row r="50" spans="3:7" x14ac:dyDescent="0.35">
      <c r="C50" s="7"/>
      <c r="D50" s="7"/>
      <c r="E50" s="7"/>
      <c r="F50" s="7"/>
      <c r="G50" s="7"/>
    </row>
    <row r="51" spans="3:7" x14ac:dyDescent="0.35">
      <c r="C51" s="7"/>
      <c r="D51" s="7"/>
      <c r="E51" s="7"/>
      <c r="F51" s="7"/>
      <c r="G51" s="7"/>
    </row>
    <row r="52" spans="3:7" x14ac:dyDescent="0.35">
      <c r="C52" s="7"/>
      <c r="D52" s="7"/>
      <c r="E52" s="7"/>
      <c r="F52" s="7"/>
      <c r="G52" s="7"/>
    </row>
    <row r="53" spans="3:7" x14ac:dyDescent="0.35">
      <c r="C53" s="7"/>
      <c r="D53" s="7"/>
      <c r="E53" s="7"/>
      <c r="F53" s="7"/>
      <c r="G53" s="7"/>
    </row>
    <row r="54" spans="3:7" x14ac:dyDescent="0.35">
      <c r="C54" s="7"/>
      <c r="D54" s="7"/>
      <c r="E54" s="7"/>
      <c r="F54" s="7"/>
      <c r="G54" s="7"/>
    </row>
    <row r="55" spans="3:7" x14ac:dyDescent="0.35">
      <c r="C55" s="7"/>
      <c r="D55" s="7"/>
      <c r="E55" s="7"/>
      <c r="F55" s="7"/>
      <c r="G55" s="7"/>
    </row>
  </sheetData>
  <mergeCells count="1">
    <mergeCell ref="A40:B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983D-C89A-4827-AE6D-70F7DD99EF18}">
  <sheetPr>
    <tabColor theme="5" tint="0.59999389629810485"/>
  </sheetPr>
  <dimension ref="A1:V33"/>
  <sheetViews>
    <sheetView zoomScale="70" zoomScaleNormal="70" workbookViewId="0">
      <selection activeCell="A8" sqref="A8:XFD8"/>
    </sheetView>
  </sheetViews>
  <sheetFormatPr defaultColWidth="9" defaultRowHeight="23.25" x14ac:dyDescent="0.2"/>
  <cols>
    <col min="1" max="1" width="6.25" style="5" customWidth="1"/>
    <col min="2" max="2" width="41" style="5" customWidth="1"/>
    <col min="3" max="18" width="15.625" style="17" customWidth="1"/>
    <col min="19" max="19" width="20" style="17" customWidth="1"/>
    <col min="20" max="20" width="41.375" style="5" customWidth="1"/>
    <col min="21" max="21" width="37.25" style="5" customWidth="1"/>
    <col min="22" max="22" width="29.875" style="5" customWidth="1"/>
    <col min="23" max="16384" width="9" style="5"/>
  </cols>
  <sheetData>
    <row r="1" spans="1:21" ht="39" customHeight="1" x14ac:dyDescent="0.2">
      <c r="A1" s="325" t="s">
        <v>93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</row>
    <row r="2" spans="1:21" ht="45" customHeight="1" x14ac:dyDescent="0.2">
      <c r="A2" s="1" t="s">
        <v>0</v>
      </c>
      <c r="B2" s="1" t="s">
        <v>1</v>
      </c>
      <c r="C2" s="9" t="s">
        <v>74</v>
      </c>
      <c r="D2" s="9" t="s">
        <v>65</v>
      </c>
      <c r="E2" s="9" t="s">
        <v>67</v>
      </c>
      <c r="F2" s="9" t="s">
        <v>150</v>
      </c>
      <c r="G2" s="151">
        <v>25112</v>
      </c>
      <c r="H2" s="151">
        <v>25143</v>
      </c>
      <c r="I2" s="151">
        <v>25173</v>
      </c>
      <c r="J2" s="151">
        <v>25204</v>
      </c>
      <c r="K2" s="151">
        <v>25235</v>
      </c>
      <c r="L2" s="151">
        <v>25263</v>
      </c>
      <c r="M2" s="151">
        <v>25294</v>
      </c>
      <c r="N2" s="151">
        <v>25324</v>
      </c>
      <c r="O2" s="151">
        <v>25355</v>
      </c>
      <c r="P2" s="151">
        <v>25385</v>
      </c>
      <c r="Q2" s="151">
        <v>25416</v>
      </c>
      <c r="R2" s="151">
        <v>25447</v>
      </c>
      <c r="S2" s="9" t="s">
        <v>66</v>
      </c>
      <c r="T2" s="245"/>
      <c r="U2" s="2" t="s">
        <v>269</v>
      </c>
    </row>
    <row r="3" spans="1:21" s="48" customFormat="1" x14ac:dyDescent="0.2">
      <c r="A3" s="166">
        <v>1</v>
      </c>
      <c r="B3" s="167" t="s">
        <v>8</v>
      </c>
      <c r="C3" s="200">
        <v>40000</v>
      </c>
      <c r="D3" s="168"/>
      <c r="E3" s="168"/>
      <c r="F3" s="200">
        <f>C3-D3+E3</f>
        <v>40000</v>
      </c>
      <c r="G3" s="168"/>
      <c r="H3" s="168"/>
      <c r="I3" s="168">
        <v>5000</v>
      </c>
      <c r="J3" s="168"/>
      <c r="K3" s="168"/>
      <c r="L3" s="168"/>
      <c r="M3" s="168"/>
      <c r="N3" s="168"/>
      <c r="O3" s="168"/>
      <c r="P3" s="168"/>
      <c r="Q3" s="168"/>
      <c r="R3" s="168"/>
      <c r="S3" s="168">
        <f>F3-G3-H3-I3-J3-K3-L3-M3-N3-O3-P3-Q3-R3</f>
        <v>35000</v>
      </c>
      <c r="T3" s="244"/>
      <c r="U3" s="244"/>
    </row>
    <row r="4" spans="1:21" x14ac:dyDescent="0.2">
      <c r="A4" s="2">
        <v>2</v>
      </c>
      <c r="B4" s="6" t="s">
        <v>9</v>
      </c>
      <c r="C4" s="201">
        <v>15000</v>
      </c>
      <c r="D4" s="10"/>
      <c r="E4" s="204">
        <v>10000</v>
      </c>
      <c r="F4" s="200">
        <f t="shared" ref="F4:F30" si="0">C4-D4+E4</f>
        <v>25000</v>
      </c>
      <c r="G4" s="10"/>
      <c r="H4" s="10">
        <v>3840</v>
      </c>
      <c r="I4" s="10"/>
      <c r="J4" s="10">
        <v>3000</v>
      </c>
      <c r="K4" s="10"/>
      <c r="L4" s="10">
        <v>8160</v>
      </c>
      <c r="M4" s="10"/>
      <c r="N4" s="10"/>
      <c r="O4" s="168"/>
      <c r="P4" s="168"/>
      <c r="Q4" s="168"/>
      <c r="R4" s="168"/>
      <c r="S4" s="168">
        <f t="shared" ref="S4:S31" si="1">F4-G4-H4-I4-J4-K4-L4-M4-N4-O4-P4-Q4-R4</f>
        <v>10000</v>
      </c>
      <c r="T4" s="245"/>
      <c r="U4" s="245"/>
    </row>
    <row r="5" spans="1:21" x14ac:dyDescent="0.2">
      <c r="A5" s="2">
        <v>3</v>
      </c>
      <c r="B5" s="6" t="s">
        <v>10</v>
      </c>
      <c r="C5" s="201">
        <v>40000</v>
      </c>
      <c r="D5" s="10"/>
      <c r="E5" s="10"/>
      <c r="F5" s="200">
        <f t="shared" si="0"/>
        <v>40000</v>
      </c>
      <c r="G5" s="10">
        <v>7890</v>
      </c>
      <c r="H5" s="10"/>
      <c r="I5" s="10">
        <v>5000</v>
      </c>
      <c r="J5" s="10">
        <v>6000</v>
      </c>
      <c r="K5" s="10">
        <v>6000</v>
      </c>
      <c r="L5" s="10"/>
      <c r="M5" s="10"/>
      <c r="N5" s="10"/>
      <c r="O5" s="168"/>
      <c r="P5" s="168"/>
      <c r="Q5" s="168"/>
      <c r="R5" s="168"/>
      <c r="S5" s="168">
        <f t="shared" si="1"/>
        <v>15110</v>
      </c>
      <c r="T5" s="245"/>
      <c r="U5" s="245"/>
    </row>
    <row r="6" spans="1:21" x14ac:dyDescent="0.2">
      <c r="A6" s="166">
        <v>4</v>
      </c>
      <c r="B6" s="6" t="s">
        <v>155</v>
      </c>
      <c r="C6" s="201"/>
      <c r="D6" s="10">
        <v>35000</v>
      </c>
      <c r="E6" s="204">
        <v>40000</v>
      </c>
      <c r="F6" s="200">
        <f t="shared" si="0"/>
        <v>5000</v>
      </c>
      <c r="G6" s="10"/>
      <c r="H6" s="10"/>
      <c r="I6" s="10"/>
      <c r="J6" s="10"/>
      <c r="K6" s="10"/>
      <c r="L6" s="10"/>
      <c r="M6" s="10"/>
      <c r="N6" s="10"/>
      <c r="O6" s="168"/>
      <c r="P6" s="168"/>
      <c r="Q6" s="168"/>
      <c r="R6" s="168"/>
      <c r="S6" s="168">
        <f t="shared" si="1"/>
        <v>5000</v>
      </c>
      <c r="T6" s="245"/>
      <c r="U6" s="245"/>
    </row>
    <row r="7" spans="1:21" x14ac:dyDescent="0.2">
      <c r="A7" s="2">
        <v>5</v>
      </c>
      <c r="B7" s="6" t="s">
        <v>15</v>
      </c>
      <c r="C7" s="201">
        <v>360000</v>
      </c>
      <c r="D7" s="10">
        <v>95678</v>
      </c>
      <c r="E7" s="10"/>
      <c r="F7" s="200">
        <f t="shared" si="0"/>
        <v>264322</v>
      </c>
      <c r="G7" s="10">
        <v>14350</v>
      </c>
      <c r="H7" s="10"/>
      <c r="I7" s="10">
        <v>4500</v>
      </c>
      <c r="J7" s="10">
        <v>1500</v>
      </c>
      <c r="K7" s="10"/>
      <c r="L7" s="10">
        <v>10500</v>
      </c>
      <c r="M7" s="10">
        <v>61260</v>
      </c>
      <c r="N7" s="10">
        <v>67590</v>
      </c>
      <c r="O7" s="168">
        <v>3726.68</v>
      </c>
      <c r="P7" s="168"/>
      <c r="Q7" s="168"/>
      <c r="R7" s="168"/>
      <c r="S7" s="168">
        <f t="shared" si="1"/>
        <v>100895.32</v>
      </c>
      <c r="T7" s="245"/>
      <c r="U7" s="245"/>
    </row>
    <row r="8" spans="1:21" s="353" customFormat="1" x14ac:dyDescent="0.2">
      <c r="A8" s="348">
        <v>6</v>
      </c>
      <c r="B8" s="349" t="s">
        <v>16</v>
      </c>
      <c r="C8" s="350">
        <v>75000</v>
      </c>
      <c r="D8" s="351"/>
      <c r="E8" s="351"/>
      <c r="F8" s="350">
        <f t="shared" si="0"/>
        <v>75000</v>
      </c>
      <c r="G8" s="351"/>
      <c r="H8" s="351"/>
      <c r="I8" s="351">
        <v>19500</v>
      </c>
      <c r="J8" s="351"/>
      <c r="K8" s="351"/>
      <c r="L8" s="351"/>
      <c r="M8" s="351"/>
      <c r="N8" s="351"/>
      <c r="O8" s="351"/>
      <c r="P8" s="351"/>
      <c r="Q8" s="351">
        <v>8499.35</v>
      </c>
      <c r="R8" s="351"/>
      <c r="S8" s="351">
        <f t="shared" si="1"/>
        <v>47000.65</v>
      </c>
      <c r="T8" s="352"/>
      <c r="U8" s="352" t="s">
        <v>304</v>
      </c>
    </row>
    <row r="9" spans="1:21" x14ac:dyDescent="0.2">
      <c r="A9" s="166">
        <v>7</v>
      </c>
      <c r="B9" s="6" t="s">
        <v>21</v>
      </c>
      <c r="C9" s="201">
        <v>20000</v>
      </c>
      <c r="D9" s="10"/>
      <c r="E9" s="10"/>
      <c r="F9" s="200">
        <f t="shared" si="0"/>
        <v>20000</v>
      </c>
      <c r="G9" s="10"/>
      <c r="H9" s="10"/>
      <c r="I9" s="10"/>
      <c r="J9" s="10"/>
      <c r="K9" s="10"/>
      <c r="L9" s="204">
        <v>9119</v>
      </c>
      <c r="M9" s="204"/>
      <c r="N9" s="204"/>
      <c r="O9" s="168"/>
      <c r="P9" s="168"/>
      <c r="Q9" s="168"/>
      <c r="R9" s="168"/>
      <c r="S9" s="168">
        <f t="shared" si="1"/>
        <v>10881</v>
      </c>
      <c r="T9" s="245"/>
      <c r="U9" s="245"/>
    </row>
    <row r="10" spans="1:21" x14ac:dyDescent="0.2">
      <c r="A10" s="2">
        <v>8</v>
      </c>
      <c r="B10" s="6" t="s">
        <v>63</v>
      </c>
      <c r="C10" s="201">
        <v>50000</v>
      </c>
      <c r="D10" s="206">
        <v>50000</v>
      </c>
      <c r="E10" s="10"/>
      <c r="F10" s="200">
        <f t="shared" si="0"/>
        <v>0</v>
      </c>
      <c r="G10" s="10"/>
      <c r="H10" s="10"/>
      <c r="I10" s="10"/>
      <c r="J10" s="10"/>
      <c r="K10" s="10"/>
      <c r="L10" s="10"/>
      <c r="M10" s="10"/>
      <c r="N10" s="10"/>
      <c r="O10" s="168"/>
      <c r="P10" s="168"/>
      <c r="Q10" s="168"/>
      <c r="R10" s="168"/>
      <c r="S10" s="168">
        <f t="shared" si="1"/>
        <v>0</v>
      </c>
      <c r="T10" s="245"/>
      <c r="U10" s="245"/>
    </row>
    <row r="11" spans="1:21" x14ac:dyDescent="0.2">
      <c r="A11" s="2">
        <v>9</v>
      </c>
      <c r="B11" s="6" t="s">
        <v>152</v>
      </c>
      <c r="C11" s="201"/>
      <c r="D11" s="10"/>
      <c r="E11" s="204">
        <v>163017</v>
      </c>
      <c r="F11" s="200">
        <f t="shared" si="0"/>
        <v>163017</v>
      </c>
      <c r="G11" s="10"/>
      <c r="H11" s="10"/>
      <c r="I11" s="10"/>
      <c r="J11" s="10">
        <v>163000</v>
      </c>
      <c r="K11" s="10"/>
      <c r="L11" s="10"/>
      <c r="M11" s="10"/>
      <c r="N11" s="10"/>
      <c r="O11" s="168"/>
      <c r="P11" s="168"/>
      <c r="Q11" s="168"/>
      <c r="R11" s="168"/>
      <c r="S11" s="168">
        <f t="shared" si="1"/>
        <v>17</v>
      </c>
      <c r="T11" s="245"/>
      <c r="U11" s="245"/>
    </row>
    <row r="12" spans="1:21" ht="22.5" customHeight="1" x14ac:dyDescent="0.2">
      <c r="A12" s="166">
        <v>10</v>
      </c>
      <c r="B12" s="6" t="s">
        <v>17</v>
      </c>
      <c r="C12" s="201">
        <v>6787.1999999999534</v>
      </c>
      <c r="D12" s="10"/>
      <c r="E12" s="10">
        <v>35000</v>
      </c>
      <c r="F12" s="200">
        <f t="shared" si="0"/>
        <v>41787.199999999953</v>
      </c>
      <c r="G12" s="10"/>
      <c r="H12" s="10"/>
      <c r="I12" s="10"/>
      <c r="J12" s="10"/>
      <c r="K12" s="10"/>
      <c r="L12" s="10"/>
      <c r="M12" s="10"/>
      <c r="N12" s="10"/>
      <c r="O12" s="168"/>
      <c r="P12" s="168"/>
      <c r="Q12" s="168">
        <v>40000</v>
      </c>
      <c r="R12" s="168"/>
      <c r="S12" s="168">
        <f t="shared" si="1"/>
        <v>1787.1999999999534</v>
      </c>
      <c r="T12" s="245"/>
      <c r="U12" s="245" t="s">
        <v>305</v>
      </c>
    </row>
    <row r="13" spans="1:21" x14ac:dyDescent="0.2">
      <c r="A13" s="2">
        <v>11</v>
      </c>
      <c r="B13" s="6" t="s">
        <v>20</v>
      </c>
      <c r="C13" s="201">
        <v>8000</v>
      </c>
      <c r="D13" s="10">
        <v>8000</v>
      </c>
      <c r="E13" s="10"/>
      <c r="F13" s="200">
        <f t="shared" si="0"/>
        <v>0</v>
      </c>
      <c r="G13" s="10"/>
      <c r="H13" s="10"/>
      <c r="I13" s="10"/>
      <c r="J13" s="10"/>
      <c r="K13" s="10"/>
      <c r="L13" s="10"/>
      <c r="M13" s="10"/>
      <c r="N13" s="10"/>
      <c r="O13" s="168"/>
      <c r="P13" s="168"/>
      <c r="Q13" s="168"/>
      <c r="R13" s="168"/>
      <c r="S13" s="168">
        <f t="shared" si="1"/>
        <v>0</v>
      </c>
      <c r="T13" s="245"/>
      <c r="U13" s="245"/>
    </row>
    <row r="14" spans="1:21" x14ac:dyDescent="0.2">
      <c r="A14" s="2">
        <v>12</v>
      </c>
      <c r="B14" s="6" t="s">
        <v>22</v>
      </c>
      <c r="C14" s="201"/>
      <c r="D14" s="10"/>
      <c r="E14" s="10"/>
      <c r="F14" s="200">
        <f t="shared" si="0"/>
        <v>0</v>
      </c>
      <c r="G14" s="10"/>
      <c r="H14" s="10"/>
      <c r="I14" s="10"/>
      <c r="J14" s="10"/>
      <c r="K14" s="10"/>
      <c r="L14" s="10"/>
      <c r="M14" s="10"/>
      <c r="N14" s="10"/>
      <c r="O14" s="168"/>
      <c r="P14" s="168"/>
      <c r="Q14" s="168"/>
      <c r="R14" s="168"/>
      <c r="S14" s="168">
        <f t="shared" si="1"/>
        <v>0</v>
      </c>
      <c r="T14" s="245"/>
      <c r="U14" s="245"/>
    </row>
    <row r="15" spans="1:21" x14ac:dyDescent="0.2">
      <c r="A15" s="166">
        <v>13</v>
      </c>
      <c r="B15" s="6" t="s">
        <v>24</v>
      </c>
      <c r="C15" s="201">
        <v>5000</v>
      </c>
      <c r="D15" s="10"/>
      <c r="E15" s="10"/>
      <c r="F15" s="200">
        <f t="shared" si="0"/>
        <v>5000</v>
      </c>
      <c r="G15" s="10"/>
      <c r="H15" s="10"/>
      <c r="I15" s="10"/>
      <c r="J15" s="10">
        <v>5000</v>
      </c>
      <c r="K15" s="10"/>
      <c r="L15" s="10"/>
      <c r="M15" s="10"/>
      <c r="N15" s="10"/>
      <c r="O15" s="168"/>
      <c r="P15" s="168"/>
      <c r="Q15" s="168"/>
      <c r="R15" s="168"/>
      <c r="S15" s="168">
        <f t="shared" si="1"/>
        <v>0</v>
      </c>
      <c r="T15" s="245"/>
      <c r="U15" s="245"/>
    </row>
    <row r="16" spans="1:21" x14ac:dyDescent="0.2">
      <c r="A16" s="2">
        <v>14</v>
      </c>
      <c r="B16" s="6" t="s">
        <v>25</v>
      </c>
      <c r="C16" s="201">
        <v>4000</v>
      </c>
      <c r="D16" s="10"/>
      <c r="E16" s="10"/>
      <c r="F16" s="200">
        <f t="shared" si="0"/>
        <v>4000</v>
      </c>
      <c r="G16" s="10"/>
      <c r="H16" s="10"/>
      <c r="I16" s="10"/>
      <c r="J16" s="10"/>
      <c r="K16" s="10"/>
      <c r="L16" s="10">
        <v>4000</v>
      </c>
      <c r="M16" s="10"/>
      <c r="N16" s="10"/>
      <c r="O16" s="168"/>
      <c r="P16" s="168"/>
      <c r="Q16" s="168"/>
      <c r="R16" s="168"/>
      <c r="S16" s="168">
        <f t="shared" si="1"/>
        <v>0</v>
      </c>
      <c r="T16" s="245"/>
      <c r="U16" s="245"/>
    </row>
    <row r="17" spans="1:22" x14ac:dyDescent="0.2">
      <c r="A17" s="2">
        <v>15</v>
      </c>
      <c r="B17" s="6" t="s">
        <v>26</v>
      </c>
      <c r="C17" s="201">
        <v>65000</v>
      </c>
      <c r="D17" s="10">
        <v>3200</v>
      </c>
      <c r="E17" s="204">
        <v>16000</v>
      </c>
      <c r="F17" s="200">
        <f t="shared" si="0"/>
        <v>77800</v>
      </c>
      <c r="G17" s="10"/>
      <c r="H17" s="10"/>
      <c r="I17" s="10"/>
      <c r="J17" s="10"/>
      <c r="K17" s="10"/>
      <c r="L17" s="10"/>
      <c r="M17" s="10"/>
      <c r="N17" s="10"/>
      <c r="O17" s="168">
        <v>4800</v>
      </c>
      <c r="P17" s="168"/>
      <c r="Q17" s="168"/>
      <c r="R17" s="168"/>
      <c r="S17" s="168">
        <f t="shared" si="1"/>
        <v>73000</v>
      </c>
      <c r="T17" s="245" t="s">
        <v>156</v>
      </c>
      <c r="U17" s="245"/>
    </row>
    <row r="18" spans="1:22" ht="21.75" customHeight="1" x14ac:dyDescent="0.2">
      <c r="A18" s="166">
        <v>16</v>
      </c>
      <c r="B18" s="6" t="s">
        <v>23</v>
      </c>
      <c r="C18" s="19">
        <v>50000</v>
      </c>
      <c r="D18" s="4">
        <v>42000</v>
      </c>
      <c r="E18" s="69">
        <v>80000</v>
      </c>
      <c r="F18" s="200">
        <f t="shared" si="0"/>
        <v>88000</v>
      </c>
      <c r="G18" s="4"/>
      <c r="H18" s="4"/>
      <c r="I18" s="4"/>
      <c r="J18" s="4"/>
      <c r="K18" s="4">
        <v>80000</v>
      </c>
      <c r="L18" s="4"/>
      <c r="M18" s="4"/>
      <c r="N18" s="4"/>
      <c r="O18" s="168"/>
      <c r="P18" s="168"/>
      <c r="Q18" s="168">
        <v>8000</v>
      </c>
      <c r="R18" s="168"/>
      <c r="S18" s="168">
        <f t="shared" si="1"/>
        <v>0</v>
      </c>
      <c r="T18" s="245" t="s">
        <v>130</v>
      </c>
      <c r="U18" s="282" t="s">
        <v>303</v>
      </c>
    </row>
    <row r="19" spans="1:22" ht="83.25" customHeight="1" x14ac:dyDescent="0.2">
      <c r="A19" s="2">
        <v>17</v>
      </c>
      <c r="B19" s="6" t="s">
        <v>153</v>
      </c>
      <c r="C19" s="19"/>
      <c r="D19" s="4"/>
      <c r="E19" s="69">
        <v>43600</v>
      </c>
      <c r="F19" s="200">
        <f t="shared" si="0"/>
        <v>43600</v>
      </c>
      <c r="G19" s="4"/>
      <c r="H19" s="4"/>
      <c r="I19" s="4"/>
      <c r="J19" s="4"/>
      <c r="K19" s="4"/>
      <c r="L19" s="4"/>
      <c r="M19" s="4"/>
      <c r="N19" s="4"/>
      <c r="O19" s="168">
        <v>17000</v>
      </c>
      <c r="P19" s="168"/>
      <c r="Q19" s="168"/>
      <c r="R19" s="168"/>
      <c r="S19" s="168">
        <f t="shared" si="1"/>
        <v>26600</v>
      </c>
      <c r="T19" s="245" t="s">
        <v>154</v>
      </c>
      <c r="U19" s="281" t="s">
        <v>261</v>
      </c>
    </row>
    <row r="20" spans="1:22" x14ac:dyDescent="0.2">
      <c r="A20" s="2">
        <v>18</v>
      </c>
      <c r="B20" s="6" t="s">
        <v>29</v>
      </c>
      <c r="C20" s="19">
        <v>450000</v>
      </c>
      <c r="D20" s="4"/>
      <c r="E20" s="69">
        <v>782465</v>
      </c>
      <c r="F20" s="200">
        <f t="shared" si="0"/>
        <v>1232465</v>
      </c>
      <c r="G20" s="4"/>
      <c r="H20" s="4"/>
      <c r="I20" s="4"/>
      <c r="J20" s="4"/>
      <c r="K20" s="4"/>
      <c r="L20" s="69">
        <v>1130000</v>
      </c>
      <c r="M20" s="69"/>
      <c r="N20" s="69"/>
      <c r="O20" s="168"/>
      <c r="P20" s="280">
        <v>-31820</v>
      </c>
      <c r="Q20" s="280"/>
      <c r="R20" s="280"/>
      <c r="S20" s="168">
        <f t="shared" si="1"/>
        <v>134285</v>
      </c>
      <c r="T20" s="245" t="s">
        <v>260</v>
      </c>
      <c r="U20" s="247"/>
      <c r="V20" s="11"/>
    </row>
    <row r="21" spans="1:22" ht="69.75" x14ac:dyDescent="0.2">
      <c r="A21" s="166">
        <v>19</v>
      </c>
      <c r="B21" s="6" t="s">
        <v>32</v>
      </c>
      <c r="C21" s="202">
        <v>10000</v>
      </c>
      <c r="D21" s="4"/>
      <c r="E21" s="4"/>
      <c r="F21" s="200">
        <f t="shared" si="0"/>
        <v>10000</v>
      </c>
      <c r="G21" s="4"/>
      <c r="H21" s="4"/>
      <c r="I21" s="4"/>
      <c r="J21" s="4"/>
      <c r="K21" s="4"/>
      <c r="L21" s="4"/>
      <c r="M21" s="4"/>
      <c r="N21" s="4"/>
      <c r="O21" s="168"/>
      <c r="P21" s="168"/>
      <c r="Q21" s="168"/>
      <c r="R21" s="168"/>
      <c r="S21" s="168">
        <f t="shared" si="1"/>
        <v>10000</v>
      </c>
      <c r="T21" s="245"/>
      <c r="U21" s="247"/>
      <c r="V21" s="11"/>
    </row>
    <row r="22" spans="1:22" x14ac:dyDescent="0.2">
      <c r="A22" s="2">
        <v>20</v>
      </c>
      <c r="B22" s="6" t="s">
        <v>64</v>
      </c>
      <c r="C22" s="202">
        <v>36000</v>
      </c>
      <c r="D22" s="12"/>
      <c r="E22" s="12"/>
      <c r="F22" s="200">
        <f t="shared" si="0"/>
        <v>36000</v>
      </c>
      <c r="G22" s="12"/>
      <c r="H22" s="12"/>
      <c r="I22" s="12"/>
      <c r="J22" s="12"/>
      <c r="K22" s="12">
        <v>36000</v>
      </c>
      <c r="L22" s="12"/>
      <c r="M22" s="207">
        <v>-5550</v>
      </c>
      <c r="N22" s="12"/>
      <c r="O22" s="168"/>
      <c r="P22" s="168"/>
      <c r="Q22" s="168"/>
      <c r="R22" s="168"/>
      <c r="S22" s="168">
        <f t="shared" si="1"/>
        <v>5550</v>
      </c>
      <c r="T22" s="245"/>
      <c r="U22" s="245"/>
    </row>
    <row r="23" spans="1:22" ht="25.5" customHeight="1" x14ac:dyDescent="0.2">
      <c r="A23" s="2">
        <v>21</v>
      </c>
      <c r="B23" s="6" t="s">
        <v>37</v>
      </c>
      <c r="C23" s="202">
        <v>300000</v>
      </c>
      <c r="D23" s="12"/>
      <c r="E23" s="12"/>
      <c r="F23" s="200">
        <f t="shared" si="0"/>
        <v>300000</v>
      </c>
      <c r="G23" s="12"/>
      <c r="H23" s="12"/>
      <c r="I23" s="12"/>
      <c r="J23" s="12"/>
      <c r="K23" s="12"/>
      <c r="L23" s="12">
        <v>298687</v>
      </c>
      <c r="M23" s="12"/>
      <c r="N23" s="12"/>
      <c r="O23" s="168"/>
      <c r="P23" s="168"/>
      <c r="Q23" s="168"/>
      <c r="R23" s="168"/>
      <c r="S23" s="168">
        <f t="shared" si="1"/>
        <v>1313</v>
      </c>
      <c r="T23" s="245"/>
      <c r="U23" s="245"/>
    </row>
    <row r="24" spans="1:22" ht="46.5" x14ac:dyDescent="0.2">
      <c r="A24" s="166">
        <v>22</v>
      </c>
      <c r="B24" s="6" t="s">
        <v>41</v>
      </c>
      <c r="C24" s="202">
        <v>15000</v>
      </c>
      <c r="D24" s="12"/>
      <c r="E24" s="12"/>
      <c r="F24" s="200">
        <f t="shared" si="0"/>
        <v>15000</v>
      </c>
      <c r="G24" s="12"/>
      <c r="H24" s="12"/>
      <c r="I24" s="12"/>
      <c r="J24" s="12"/>
      <c r="K24" s="12"/>
      <c r="L24" s="12"/>
      <c r="M24" s="12"/>
      <c r="N24" s="12">
        <v>15000</v>
      </c>
      <c r="O24" s="168"/>
      <c r="P24" s="168"/>
      <c r="Q24" s="168"/>
      <c r="R24" s="168"/>
      <c r="S24" s="168">
        <f t="shared" si="1"/>
        <v>0</v>
      </c>
      <c r="T24" s="245" t="s">
        <v>159</v>
      </c>
      <c r="U24" s="245"/>
    </row>
    <row r="25" spans="1:22" ht="46.5" x14ac:dyDescent="0.2">
      <c r="A25" s="2">
        <v>23</v>
      </c>
      <c r="B25" s="6" t="s">
        <v>48</v>
      </c>
      <c r="C25" s="202">
        <v>180000</v>
      </c>
      <c r="D25" s="12"/>
      <c r="E25" s="12"/>
      <c r="F25" s="200">
        <f t="shared" si="0"/>
        <v>180000</v>
      </c>
      <c r="G25" s="12">
        <v>180000</v>
      </c>
      <c r="H25" s="12"/>
      <c r="I25" s="12"/>
      <c r="J25" s="12"/>
      <c r="K25" s="12"/>
      <c r="L25" s="12"/>
      <c r="M25" s="12"/>
      <c r="N25" s="12"/>
      <c r="O25" s="168"/>
      <c r="P25" s="168"/>
      <c r="Q25" s="168"/>
      <c r="R25" s="168"/>
      <c r="S25" s="168">
        <f t="shared" si="1"/>
        <v>0</v>
      </c>
      <c r="T25" s="245"/>
      <c r="U25" s="245"/>
    </row>
    <row r="26" spans="1:22" ht="31.5" customHeight="1" x14ac:dyDescent="0.2">
      <c r="A26" s="2">
        <v>24</v>
      </c>
      <c r="B26" s="13" t="s">
        <v>45</v>
      </c>
      <c r="C26" s="202">
        <v>20000</v>
      </c>
      <c r="D26" s="12"/>
      <c r="E26" s="12"/>
      <c r="F26" s="200">
        <f t="shared" si="0"/>
        <v>20000</v>
      </c>
      <c r="G26" s="12"/>
      <c r="H26" s="12"/>
      <c r="I26" s="12"/>
      <c r="J26" s="12"/>
      <c r="K26" s="12"/>
      <c r="L26" s="12"/>
      <c r="M26" s="12"/>
      <c r="N26" s="12"/>
      <c r="O26" s="168"/>
      <c r="P26" s="168"/>
      <c r="Q26" s="168"/>
      <c r="R26" s="168"/>
      <c r="S26" s="168">
        <f t="shared" si="1"/>
        <v>20000</v>
      </c>
      <c r="T26" s="245"/>
      <c r="U26" s="245"/>
    </row>
    <row r="27" spans="1:22" ht="48" customHeight="1" x14ac:dyDescent="0.2">
      <c r="A27" s="166">
        <v>25</v>
      </c>
      <c r="B27" s="14" t="s">
        <v>68</v>
      </c>
      <c r="C27" s="203">
        <v>25000</v>
      </c>
      <c r="D27" s="12"/>
      <c r="E27" s="12"/>
      <c r="F27" s="200">
        <f t="shared" si="0"/>
        <v>25000</v>
      </c>
      <c r="G27" s="12"/>
      <c r="H27" s="12"/>
      <c r="I27" s="12"/>
      <c r="J27" s="12"/>
      <c r="K27" s="12"/>
      <c r="L27" s="12"/>
      <c r="M27" s="12"/>
      <c r="N27" s="12"/>
      <c r="O27" s="168"/>
      <c r="P27" s="168"/>
      <c r="Q27" s="168"/>
      <c r="R27" s="168"/>
      <c r="S27" s="168">
        <f t="shared" si="1"/>
        <v>25000</v>
      </c>
      <c r="T27" s="245"/>
      <c r="U27" s="245"/>
    </row>
    <row r="28" spans="1:22" ht="26.25" customHeight="1" x14ac:dyDescent="0.2">
      <c r="A28" s="2">
        <v>26</v>
      </c>
      <c r="B28" s="14" t="s">
        <v>46</v>
      </c>
      <c r="C28" s="19">
        <v>40000</v>
      </c>
      <c r="D28" s="15"/>
      <c r="E28" s="15"/>
      <c r="F28" s="200">
        <f t="shared" si="0"/>
        <v>40000</v>
      </c>
      <c r="G28" s="15"/>
      <c r="H28" s="15"/>
      <c r="I28" s="15"/>
      <c r="J28" s="15"/>
      <c r="K28" s="15"/>
      <c r="L28" s="15"/>
      <c r="M28" s="15"/>
      <c r="N28" s="15"/>
      <c r="O28" s="168">
        <v>40000</v>
      </c>
      <c r="P28" s="168"/>
      <c r="Q28" s="168"/>
      <c r="R28" s="168"/>
      <c r="S28" s="168">
        <f t="shared" si="1"/>
        <v>0</v>
      </c>
      <c r="T28" s="245"/>
      <c r="U28" s="245"/>
    </row>
    <row r="29" spans="1:22" ht="42.75" customHeight="1" x14ac:dyDescent="0.2">
      <c r="A29" s="2">
        <v>27</v>
      </c>
      <c r="B29" s="16" t="s">
        <v>69</v>
      </c>
      <c r="C29" s="19">
        <v>65000</v>
      </c>
      <c r="D29" s="4"/>
      <c r="E29" s="4"/>
      <c r="F29" s="200">
        <f t="shared" si="0"/>
        <v>65000</v>
      </c>
      <c r="G29" s="4"/>
      <c r="H29" s="4">
        <v>65000</v>
      </c>
      <c r="I29" s="4"/>
      <c r="J29" s="4"/>
      <c r="K29" s="4"/>
      <c r="L29" s="4"/>
      <c r="M29" s="4"/>
      <c r="N29" s="4"/>
      <c r="O29" s="168"/>
      <c r="P29" s="168"/>
      <c r="Q29" s="168"/>
      <c r="R29" s="168"/>
      <c r="S29" s="168">
        <f t="shared" si="1"/>
        <v>0</v>
      </c>
      <c r="T29" s="245"/>
      <c r="U29" s="245"/>
    </row>
    <row r="30" spans="1:22" x14ac:dyDescent="0.2">
      <c r="A30" s="166">
        <v>28</v>
      </c>
      <c r="B30" s="16" t="s">
        <v>70</v>
      </c>
      <c r="C30" s="19">
        <v>50000</v>
      </c>
      <c r="D30" s="4"/>
      <c r="E30" s="4"/>
      <c r="F30" s="200">
        <f t="shared" si="0"/>
        <v>50000</v>
      </c>
      <c r="G30" s="4"/>
      <c r="H30" s="4"/>
      <c r="I30" s="4"/>
      <c r="J30" s="4"/>
      <c r="K30" s="4">
        <v>50000</v>
      </c>
      <c r="L30" s="4"/>
      <c r="M30" s="4"/>
      <c r="N30" s="4"/>
      <c r="O30" s="168"/>
      <c r="P30" s="168"/>
      <c r="Q30" s="168"/>
      <c r="R30" s="168"/>
      <c r="S30" s="168">
        <f t="shared" si="1"/>
        <v>0</v>
      </c>
      <c r="T30" s="245"/>
      <c r="U30" s="245"/>
    </row>
    <row r="31" spans="1:22" ht="30.75" customHeight="1" x14ac:dyDescent="0.2">
      <c r="A31" s="326" t="s">
        <v>5</v>
      </c>
      <c r="B31" s="326"/>
      <c r="C31" s="19">
        <f>SUM(C3:C30)</f>
        <v>1929787.2</v>
      </c>
      <c r="D31" s="19">
        <f>SUM(D3:D30)</f>
        <v>233878</v>
      </c>
      <c r="E31" s="19">
        <f>SUM(E3:E30)</f>
        <v>1170082</v>
      </c>
      <c r="F31" s="200">
        <f t="shared" ref="F31" si="2">C31-D31+E31</f>
        <v>2865991.2</v>
      </c>
      <c r="G31" s="19">
        <f>SUM(G3:G30)</f>
        <v>202240</v>
      </c>
      <c r="H31" s="19">
        <f t="shared" ref="H31:L31" si="3">SUM(H3:H30)</f>
        <v>68840</v>
      </c>
      <c r="I31" s="19">
        <f t="shared" si="3"/>
        <v>34000</v>
      </c>
      <c r="J31" s="19">
        <f t="shared" si="3"/>
        <v>178500</v>
      </c>
      <c r="K31" s="19">
        <f t="shared" si="3"/>
        <v>172000</v>
      </c>
      <c r="L31" s="19">
        <f t="shared" si="3"/>
        <v>1460466</v>
      </c>
      <c r="M31" s="19">
        <f>SUM(M3:M30)</f>
        <v>55710</v>
      </c>
      <c r="N31" s="19">
        <f>SUM(N3:N30)</f>
        <v>82590</v>
      </c>
      <c r="O31" s="168">
        <f>SUM(O3:O30)</f>
        <v>65526.68</v>
      </c>
      <c r="P31" s="280">
        <f>SUM(P3:P30)</f>
        <v>-31820</v>
      </c>
      <c r="Q31" s="280"/>
      <c r="R31" s="280"/>
      <c r="S31" s="168">
        <f t="shared" si="1"/>
        <v>577938.52000000014</v>
      </c>
      <c r="T31" s="245"/>
      <c r="U31" s="245"/>
    </row>
    <row r="32" spans="1:22" x14ac:dyDescent="0.2">
      <c r="C32" s="50">
        <v>1929787.2</v>
      </c>
    </row>
    <row r="33" spans="3:3" x14ac:dyDescent="0.2">
      <c r="C33" s="51">
        <f>C32-C31</f>
        <v>0</v>
      </c>
    </row>
  </sheetData>
  <mergeCells count="2">
    <mergeCell ref="A1:S1"/>
    <mergeCell ref="A31:B3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B20D-D08B-43E6-BFC3-D1805DD6F3A7}">
  <dimension ref="A1:K45"/>
  <sheetViews>
    <sheetView tabSelected="1" topLeftCell="A16" zoomScale="70" zoomScaleNormal="70" workbookViewId="0">
      <selection activeCell="G37" sqref="G37"/>
    </sheetView>
  </sheetViews>
  <sheetFormatPr defaultRowHeight="26.25" x14ac:dyDescent="0.55000000000000004"/>
  <cols>
    <col min="1" max="1" width="9" style="277"/>
    <col min="2" max="2" width="30" style="248" customWidth="1"/>
    <col min="3" max="3" width="49.25" style="248" customWidth="1"/>
    <col min="4" max="6" width="20" style="278" customWidth="1"/>
    <col min="7" max="7" width="20" style="279" customWidth="1"/>
    <col min="8" max="8" width="18" style="278" customWidth="1"/>
    <col min="9" max="9" width="16.125" style="248" customWidth="1"/>
    <col min="10" max="10" width="15.5" style="248" customWidth="1"/>
    <col min="11" max="11" width="48.875" style="248" customWidth="1"/>
    <col min="12" max="16384" width="9" style="248"/>
  </cols>
  <sheetData>
    <row r="1" spans="1:11" x14ac:dyDescent="0.55000000000000004">
      <c r="A1" s="327" t="s">
        <v>171</v>
      </c>
      <c r="B1" s="327"/>
      <c r="C1" s="327"/>
      <c r="D1" s="327"/>
      <c r="E1" s="327"/>
      <c r="F1" s="327"/>
      <c r="G1" s="327"/>
      <c r="H1" s="327"/>
    </row>
    <row r="2" spans="1:11" x14ac:dyDescent="0.55000000000000004">
      <c r="A2" s="249" t="s">
        <v>0</v>
      </c>
      <c r="B2" s="249" t="s">
        <v>172</v>
      </c>
      <c r="C2" s="249" t="s">
        <v>173</v>
      </c>
      <c r="D2" s="250" t="s">
        <v>174</v>
      </c>
      <c r="E2" s="250" t="s">
        <v>175</v>
      </c>
      <c r="F2" s="250" t="s">
        <v>176</v>
      </c>
      <c r="G2" s="251" t="s">
        <v>177</v>
      </c>
      <c r="H2" s="250" t="s">
        <v>178</v>
      </c>
      <c r="I2" s="252" t="s">
        <v>179</v>
      </c>
      <c r="J2" s="252" t="s">
        <v>180</v>
      </c>
      <c r="K2" s="252" t="s">
        <v>180</v>
      </c>
    </row>
    <row r="3" spans="1:11" x14ac:dyDescent="0.55000000000000004">
      <c r="A3" s="328" t="s">
        <v>181</v>
      </c>
      <c r="B3" s="329"/>
      <c r="C3" s="330"/>
      <c r="D3" s="253"/>
      <c r="E3" s="253"/>
      <c r="F3" s="253"/>
      <c r="G3" s="251"/>
      <c r="H3" s="253">
        <v>360000</v>
      </c>
      <c r="I3" s="252"/>
      <c r="J3" s="252"/>
      <c r="K3" s="252"/>
    </row>
    <row r="4" spans="1:11" s="261" customFormat="1" ht="78.75" x14ac:dyDescent="0.2">
      <c r="A4" s="254">
        <v>1</v>
      </c>
      <c r="B4" s="255" t="s">
        <v>182</v>
      </c>
      <c r="C4" s="256" t="s">
        <v>183</v>
      </c>
      <c r="D4" s="257">
        <v>10000</v>
      </c>
      <c r="E4" s="257"/>
      <c r="F4" s="257"/>
      <c r="G4" s="258">
        <f>D4+E4+F4</f>
        <v>10000</v>
      </c>
      <c r="H4" s="257">
        <f>H3-G4</f>
        <v>350000</v>
      </c>
      <c r="I4" s="259">
        <v>3209</v>
      </c>
      <c r="J4" s="260" t="s">
        <v>184</v>
      </c>
      <c r="K4" s="255"/>
    </row>
    <row r="5" spans="1:11" s="261" customFormat="1" ht="78.75" x14ac:dyDescent="0.2">
      <c r="A5" s="254">
        <v>2</v>
      </c>
      <c r="B5" s="255" t="s">
        <v>185</v>
      </c>
      <c r="C5" s="256" t="s">
        <v>186</v>
      </c>
      <c r="D5" s="257">
        <v>1000</v>
      </c>
      <c r="E5" s="257">
        <v>10000</v>
      </c>
      <c r="F5" s="257"/>
      <c r="G5" s="258">
        <f t="shared" ref="G5:G28" si="0">D5+E5+F5</f>
        <v>11000</v>
      </c>
      <c r="H5" s="257">
        <f t="shared" ref="H5:H44" si="1">H4-G5</f>
        <v>339000</v>
      </c>
      <c r="I5" s="262">
        <v>39721478</v>
      </c>
      <c r="J5" s="260" t="s">
        <v>187</v>
      </c>
      <c r="K5" s="255"/>
    </row>
    <row r="6" spans="1:11" s="261" customFormat="1" ht="78.75" x14ac:dyDescent="0.2">
      <c r="A6" s="254">
        <v>3</v>
      </c>
      <c r="B6" s="255" t="s">
        <v>188</v>
      </c>
      <c r="C6" s="256" t="s">
        <v>189</v>
      </c>
      <c r="D6" s="257">
        <v>1000</v>
      </c>
      <c r="E6" s="257">
        <v>10000</v>
      </c>
      <c r="F6" s="257"/>
      <c r="G6" s="258">
        <f t="shared" si="0"/>
        <v>11000</v>
      </c>
      <c r="H6" s="257">
        <f t="shared" si="1"/>
        <v>328000</v>
      </c>
      <c r="I6" s="259" t="s">
        <v>190</v>
      </c>
      <c r="J6" s="260" t="s">
        <v>187</v>
      </c>
      <c r="K6" s="255"/>
    </row>
    <row r="7" spans="1:11" s="261" customFormat="1" ht="52.5" x14ac:dyDescent="0.2">
      <c r="A7" s="254">
        <v>4</v>
      </c>
      <c r="B7" s="255" t="s">
        <v>191</v>
      </c>
      <c r="C7" s="256" t="s">
        <v>192</v>
      </c>
      <c r="D7" s="257">
        <v>6590</v>
      </c>
      <c r="E7" s="257">
        <v>3810</v>
      </c>
      <c r="F7" s="257"/>
      <c r="G7" s="258">
        <f t="shared" si="0"/>
        <v>10400</v>
      </c>
      <c r="H7" s="257">
        <f t="shared" si="1"/>
        <v>317600</v>
      </c>
      <c r="I7" s="263" t="s">
        <v>193</v>
      </c>
      <c r="J7" s="263" t="s">
        <v>194</v>
      </c>
      <c r="K7" s="255" t="s">
        <v>302</v>
      </c>
    </row>
    <row r="8" spans="1:11" s="261" customFormat="1" ht="210" x14ac:dyDescent="0.2">
      <c r="A8" s="254">
        <v>5</v>
      </c>
      <c r="B8" s="255" t="s">
        <v>195</v>
      </c>
      <c r="C8" s="256" t="s">
        <v>196</v>
      </c>
      <c r="D8" s="257">
        <v>2000</v>
      </c>
      <c r="E8" s="257">
        <v>1500</v>
      </c>
      <c r="F8" s="257">
        <v>6500</v>
      </c>
      <c r="G8" s="258">
        <f t="shared" si="0"/>
        <v>10000</v>
      </c>
      <c r="H8" s="257">
        <f t="shared" si="1"/>
        <v>307600</v>
      </c>
      <c r="I8" s="264" t="s">
        <v>197</v>
      </c>
      <c r="J8" s="264" t="s">
        <v>198</v>
      </c>
      <c r="K8" s="264" t="s">
        <v>199</v>
      </c>
    </row>
    <row r="9" spans="1:11" s="261" customFormat="1" ht="210" x14ac:dyDescent="0.2">
      <c r="A9" s="254">
        <v>6</v>
      </c>
      <c r="B9" s="255" t="s">
        <v>200</v>
      </c>
      <c r="C9" s="256" t="s">
        <v>201</v>
      </c>
      <c r="D9" s="257">
        <v>2000</v>
      </c>
      <c r="E9" s="257">
        <v>1500</v>
      </c>
      <c r="F9" s="257">
        <v>6500</v>
      </c>
      <c r="G9" s="258">
        <f t="shared" si="0"/>
        <v>10000</v>
      </c>
      <c r="H9" s="257">
        <f t="shared" si="1"/>
        <v>297600</v>
      </c>
      <c r="I9" s="264" t="s">
        <v>202</v>
      </c>
      <c r="J9" s="264" t="s">
        <v>198</v>
      </c>
      <c r="K9" s="264" t="s">
        <v>203</v>
      </c>
    </row>
    <row r="10" spans="1:11" s="261" customFormat="1" ht="131.25" x14ac:dyDescent="0.2">
      <c r="A10" s="254">
        <v>7</v>
      </c>
      <c r="B10" s="255" t="s">
        <v>204</v>
      </c>
      <c r="C10" s="256" t="s">
        <v>205</v>
      </c>
      <c r="D10" s="257">
        <v>2000</v>
      </c>
      <c r="E10" s="257">
        <v>2500</v>
      </c>
      <c r="F10" s="257"/>
      <c r="G10" s="258">
        <f t="shared" si="0"/>
        <v>4500</v>
      </c>
      <c r="H10" s="257">
        <f t="shared" si="1"/>
        <v>293100</v>
      </c>
      <c r="I10" s="264" t="s">
        <v>206</v>
      </c>
      <c r="J10" s="264" t="s">
        <v>207</v>
      </c>
      <c r="K10" s="264" t="s">
        <v>208</v>
      </c>
    </row>
    <row r="11" spans="1:11" s="261" customFormat="1" ht="52.5" x14ac:dyDescent="0.2">
      <c r="A11" s="254">
        <v>8</v>
      </c>
      <c r="B11" s="255" t="s">
        <v>209</v>
      </c>
      <c r="C11" s="256" t="s">
        <v>210</v>
      </c>
      <c r="D11" s="257">
        <v>1500</v>
      </c>
      <c r="E11" s="257"/>
      <c r="F11" s="257"/>
      <c r="G11" s="258">
        <f t="shared" si="0"/>
        <v>1500</v>
      </c>
      <c r="H11" s="257">
        <f t="shared" si="1"/>
        <v>291600</v>
      </c>
      <c r="I11" s="264" t="s">
        <v>211</v>
      </c>
      <c r="J11" s="264" t="s">
        <v>212</v>
      </c>
      <c r="K11" s="255"/>
    </row>
    <row r="12" spans="1:11" s="261" customFormat="1" ht="78.75" x14ac:dyDescent="0.2">
      <c r="A12" s="254">
        <v>9</v>
      </c>
      <c r="B12" s="255" t="s">
        <v>213</v>
      </c>
      <c r="C12" s="256" t="s">
        <v>214</v>
      </c>
      <c r="D12" s="257">
        <v>5156.67</v>
      </c>
      <c r="E12" s="257">
        <v>2000</v>
      </c>
      <c r="F12" s="257"/>
      <c r="G12" s="258">
        <f t="shared" si="0"/>
        <v>7156.67</v>
      </c>
      <c r="H12" s="257">
        <f t="shared" si="1"/>
        <v>284443.33</v>
      </c>
      <c r="I12" s="264" t="s">
        <v>215</v>
      </c>
      <c r="J12" s="264" t="s">
        <v>216</v>
      </c>
      <c r="K12" s="255" t="s">
        <v>217</v>
      </c>
    </row>
    <row r="13" spans="1:11" s="261" customFormat="1" ht="52.5" x14ac:dyDescent="0.2">
      <c r="A13" s="254">
        <v>10</v>
      </c>
      <c r="B13" s="255" t="s">
        <v>218</v>
      </c>
      <c r="C13" s="256" t="s">
        <v>219</v>
      </c>
      <c r="D13" s="257">
        <v>5156.67</v>
      </c>
      <c r="E13" s="257"/>
      <c r="F13" s="257"/>
      <c r="G13" s="258">
        <f t="shared" si="0"/>
        <v>5156.67</v>
      </c>
      <c r="H13" s="257">
        <f t="shared" si="1"/>
        <v>279286.66000000003</v>
      </c>
      <c r="I13" s="264" t="s">
        <v>215</v>
      </c>
      <c r="J13" s="264" t="s">
        <v>216</v>
      </c>
      <c r="K13" s="255"/>
    </row>
    <row r="14" spans="1:11" s="261" customFormat="1" ht="78.75" x14ac:dyDescent="0.2">
      <c r="A14" s="254">
        <v>11</v>
      </c>
      <c r="B14" s="255" t="s">
        <v>220</v>
      </c>
      <c r="C14" s="256" t="s">
        <v>221</v>
      </c>
      <c r="D14" s="265">
        <v>3855</v>
      </c>
      <c r="E14" s="265"/>
      <c r="F14" s="265"/>
      <c r="G14" s="258">
        <f t="shared" si="0"/>
        <v>3855</v>
      </c>
      <c r="H14" s="257">
        <f t="shared" si="1"/>
        <v>275431.66000000003</v>
      </c>
      <c r="I14" s="264" t="s">
        <v>222</v>
      </c>
      <c r="J14" s="264" t="s">
        <v>223</v>
      </c>
      <c r="K14" s="255"/>
    </row>
    <row r="15" spans="1:11" s="261" customFormat="1" ht="78.75" x14ac:dyDescent="0.2">
      <c r="A15" s="254">
        <v>12</v>
      </c>
      <c r="B15" s="255" t="s">
        <v>224</v>
      </c>
      <c r="C15" s="256" t="s">
        <v>225</v>
      </c>
      <c r="D15" s="265">
        <v>3855</v>
      </c>
      <c r="E15" s="265"/>
      <c r="F15" s="265"/>
      <c r="G15" s="258">
        <f t="shared" si="0"/>
        <v>3855</v>
      </c>
      <c r="H15" s="257">
        <f t="shared" si="1"/>
        <v>271576.66000000003</v>
      </c>
      <c r="I15" s="264" t="s">
        <v>222</v>
      </c>
      <c r="J15" s="264" t="s">
        <v>223</v>
      </c>
      <c r="K15" s="255"/>
    </row>
    <row r="16" spans="1:11" x14ac:dyDescent="0.55000000000000004">
      <c r="A16" s="254">
        <v>13</v>
      </c>
      <c r="B16" s="266" t="s">
        <v>220</v>
      </c>
      <c r="C16" s="266"/>
      <c r="D16" s="267"/>
      <c r="E16" s="267"/>
      <c r="F16" s="267"/>
      <c r="G16" s="258">
        <f t="shared" si="0"/>
        <v>0</v>
      </c>
      <c r="H16" s="268">
        <f t="shared" si="1"/>
        <v>271576.66000000003</v>
      </c>
      <c r="I16" s="269" t="s">
        <v>226</v>
      </c>
      <c r="J16" s="269" t="s">
        <v>227</v>
      </c>
      <c r="K16" s="270" t="s">
        <v>228</v>
      </c>
    </row>
    <row r="17" spans="1:11" s="261" customFormat="1" ht="78.75" x14ac:dyDescent="0.2">
      <c r="A17" s="254">
        <v>14</v>
      </c>
      <c r="B17" s="255" t="s">
        <v>229</v>
      </c>
      <c r="C17" s="256" t="s">
        <v>230</v>
      </c>
      <c r="D17" s="257">
        <v>10000</v>
      </c>
      <c r="E17" s="257"/>
      <c r="F17" s="257"/>
      <c r="G17" s="258">
        <f t="shared" si="0"/>
        <v>10000</v>
      </c>
      <c r="H17" s="257">
        <f t="shared" si="1"/>
        <v>261576.66000000003</v>
      </c>
      <c r="I17" s="264" t="s">
        <v>231</v>
      </c>
      <c r="J17" s="264" t="s">
        <v>232</v>
      </c>
      <c r="K17" s="255"/>
    </row>
    <row r="18" spans="1:11" ht="52.5" x14ac:dyDescent="0.55000000000000004">
      <c r="A18" s="254">
        <v>15</v>
      </c>
      <c r="B18" s="252" t="s">
        <v>233</v>
      </c>
      <c r="C18" s="271" t="s">
        <v>234</v>
      </c>
      <c r="D18" s="272">
        <v>10000</v>
      </c>
      <c r="E18" s="272"/>
      <c r="F18" s="272"/>
      <c r="G18" s="258">
        <f t="shared" si="0"/>
        <v>10000</v>
      </c>
      <c r="H18" s="257">
        <f t="shared" si="1"/>
        <v>251576.66000000003</v>
      </c>
      <c r="I18" s="273" t="s">
        <v>235</v>
      </c>
      <c r="J18" s="273" t="s">
        <v>236</v>
      </c>
      <c r="K18" s="252"/>
    </row>
    <row r="19" spans="1:11" s="261" customFormat="1" ht="131.25" x14ac:dyDescent="0.2">
      <c r="A19" s="254">
        <v>16</v>
      </c>
      <c r="B19" s="255" t="s">
        <v>237</v>
      </c>
      <c r="C19" s="256" t="s">
        <v>238</v>
      </c>
      <c r="D19" s="257">
        <v>8000</v>
      </c>
      <c r="E19" s="257">
        <v>2000</v>
      </c>
      <c r="F19" s="257"/>
      <c r="G19" s="258">
        <f t="shared" si="0"/>
        <v>10000</v>
      </c>
      <c r="H19" s="257">
        <f t="shared" si="1"/>
        <v>241576.66000000003</v>
      </c>
      <c r="I19" s="274">
        <v>1405</v>
      </c>
      <c r="J19" s="264" t="s">
        <v>194</v>
      </c>
      <c r="K19" s="255" t="s">
        <v>217</v>
      </c>
    </row>
    <row r="20" spans="1:11" ht="52.5" x14ac:dyDescent="0.55000000000000004">
      <c r="A20" s="254">
        <v>17</v>
      </c>
      <c r="B20" s="252" t="s">
        <v>239</v>
      </c>
      <c r="C20" s="271" t="s">
        <v>210</v>
      </c>
      <c r="D20" s="272">
        <v>1500</v>
      </c>
      <c r="E20" s="272">
        <v>1500</v>
      </c>
      <c r="F20" s="272"/>
      <c r="G20" s="258">
        <f t="shared" si="0"/>
        <v>3000</v>
      </c>
      <c r="H20" s="257">
        <f t="shared" si="1"/>
        <v>238576.66000000003</v>
      </c>
      <c r="I20" s="273" t="s">
        <v>240</v>
      </c>
      <c r="J20" s="273" t="s">
        <v>241</v>
      </c>
      <c r="K20" s="252"/>
    </row>
    <row r="21" spans="1:11" ht="105" x14ac:dyDescent="0.55000000000000004">
      <c r="A21" s="254">
        <v>18</v>
      </c>
      <c r="B21" s="252" t="s">
        <v>242</v>
      </c>
      <c r="C21" s="271" t="s">
        <v>243</v>
      </c>
      <c r="D21" s="272">
        <v>1500</v>
      </c>
      <c r="E21" s="272">
        <v>10313.34</v>
      </c>
      <c r="F21" s="272"/>
      <c r="G21" s="258">
        <f t="shared" si="0"/>
        <v>11813.34</v>
      </c>
      <c r="H21" s="257">
        <f t="shared" si="1"/>
        <v>226763.32000000004</v>
      </c>
      <c r="I21" s="273" t="s">
        <v>244</v>
      </c>
      <c r="J21" s="273" t="s">
        <v>212</v>
      </c>
      <c r="K21" s="252"/>
    </row>
    <row r="22" spans="1:11" s="261" customFormat="1" ht="131.25" x14ac:dyDescent="0.2">
      <c r="A22" s="254">
        <v>19</v>
      </c>
      <c r="B22" s="255" t="s">
        <v>245</v>
      </c>
      <c r="C22" s="256" t="s">
        <v>246</v>
      </c>
      <c r="D22" s="257">
        <v>10000</v>
      </c>
      <c r="E22" s="257"/>
      <c r="F22" s="257"/>
      <c r="G22" s="258">
        <f t="shared" si="0"/>
        <v>10000</v>
      </c>
      <c r="H22" s="257">
        <f t="shared" si="1"/>
        <v>216763.32000000004</v>
      </c>
      <c r="I22" s="274">
        <v>1509</v>
      </c>
      <c r="J22" s="264" t="s">
        <v>247</v>
      </c>
      <c r="K22" s="255"/>
    </row>
    <row r="23" spans="1:11" s="261" customFormat="1" ht="52.5" x14ac:dyDescent="0.2">
      <c r="A23" s="254">
        <v>20</v>
      </c>
      <c r="B23" s="255" t="s">
        <v>248</v>
      </c>
      <c r="C23" s="256" t="s">
        <v>249</v>
      </c>
      <c r="D23" s="257">
        <v>10000</v>
      </c>
      <c r="E23" s="257">
        <v>1000</v>
      </c>
      <c r="F23" s="257"/>
      <c r="G23" s="258">
        <f t="shared" si="0"/>
        <v>11000</v>
      </c>
      <c r="H23" s="257">
        <f t="shared" si="1"/>
        <v>205763.32000000004</v>
      </c>
      <c r="I23" s="262" t="s">
        <v>250</v>
      </c>
      <c r="J23" s="264" t="s">
        <v>251</v>
      </c>
      <c r="K23" s="255"/>
    </row>
    <row r="24" spans="1:11" x14ac:dyDescent="0.55000000000000004">
      <c r="A24" s="254">
        <v>21</v>
      </c>
      <c r="B24" s="252" t="s">
        <v>252</v>
      </c>
      <c r="C24" s="252" t="s">
        <v>253</v>
      </c>
      <c r="D24" s="272">
        <v>2000</v>
      </c>
      <c r="E24" s="272"/>
      <c r="F24" s="272"/>
      <c r="G24" s="258">
        <f t="shared" si="0"/>
        <v>2000</v>
      </c>
      <c r="H24" s="257">
        <f>H23-G24</f>
        <v>203763.32000000004</v>
      </c>
      <c r="I24" s="252"/>
      <c r="J24" s="252"/>
      <c r="K24" s="252" t="s">
        <v>217</v>
      </c>
    </row>
    <row r="25" spans="1:11" x14ac:dyDescent="0.55000000000000004">
      <c r="A25" s="254">
        <v>22</v>
      </c>
      <c r="B25" s="252" t="s">
        <v>254</v>
      </c>
      <c r="C25" s="252" t="s">
        <v>253</v>
      </c>
      <c r="D25" s="272">
        <v>2000</v>
      </c>
      <c r="E25" s="272"/>
      <c r="F25" s="272"/>
      <c r="G25" s="258">
        <f t="shared" si="0"/>
        <v>2000</v>
      </c>
      <c r="H25" s="257">
        <f t="shared" si="1"/>
        <v>201763.32000000004</v>
      </c>
      <c r="I25" s="252"/>
      <c r="J25" s="252"/>
      <c r="K25" s="252" t="s">
        <v>217</v>
      </c>
    </row>
    <row r="26" spans="1:11" x14ac:dyDescent="0.55000000000000004">
      <c r="A26" s="254">
        <v>23</v>
      </c>
      <c r="B26" s="252" t="s">
        <v>255</v>
      </c>
      <c r="C26" s="252" t="s">
        <v>253</v>
      </c>
      <c r="D26" s="272">
        <v>2000</v>
      </c>
      <c r="E26" s="272"/>
      <c r="F26" s="272"/>
      <c r="G26" s="258">
        <f t="shared" si="0"/>
        <v>2000</v>
      </c>
      <c r="H26" s="257">
        <f t="shared" si="1"/>
        <v>199763.32000000004</v>
      </c>
      <c r="I26" s="252"/>
      <c r="J26" s="252"/>
      <c r="K26" s="252" t="s">
        <v>217</v>
      </c>
    </row>
    <row r="27" spans="1:11" x14ac:dyDescent="0.55000000000000004">
      <c r="A27" s="254">
        <v>24</v>
      </c>
      <c r="B27" s="252" t="s">
        <v>256</v>
      </c>
      <c r="C27" s="252" t="s">
        <v>253</v>
      </c>
      <c r="D27" s="272">
        <v>2000</v>
      </c>
      <c r="E27" s="272"/>
      <c r="F27" s="272"/>
      <c r="G27" s="258">
        <f t="shared" si="0"/>
        <v>2000</v>
      </c>
      <c r="H27" s="257">
        <f t="shared" si="1"/>
        <v>197763.32000000004</v>
      </c>
      <c r="I27" s="252"/>
      <c r="J27" s="252"/>
      <c r="K27" s="252" t="s">
        <v>217</v>
      </c>
    </row>
    <row r="28" spans="1:11" x14ac:dyDescent="0.55000000000000004">
      <c r="A28" s="354">
        <v>25</v>
      </c>
      <c r="B28" s="355" t="s">
        <v>256</v>
      </c>
      <c r="C28" s="355" t="s">
        <v>257</v>
      </c>
      <c r="D28" s="356">
        <v>5000</v>
      </c>
      <c r="E28" s="356"/>
      <c r="F28" s="356"/>
      <c r="G28" s="357">
        <f t="shared" si="0"/>
        <v>5000</v>
      </c>
      <c r="H28" s="265">
        <f t="shared" si="1"/>
        <v>192763.32000000004</v>
      </c>
      <c r="I28" s="358">
        <v>3083</v>
      </c>
      <c r="J28" s="359" t="s">
        <v>258</v>
      </c>
      <c r="K28" s="355"/>
    </row>
    <row r="29" spans="1:11" x14ac:dyDescent="0.55000000000000004">
      <c r="A29" s="354"/>
      <c r="B29" s="355"/>
      <c r="C29" s="355"/>
      <c r="D29" s="356"/>
      <c r="E29" s="356"/>
      <c r="F29" s="356"/>
      <c r="G29" s="357"/>
      <c r="H29" s="257">
        <f t="shared" si="1"/>
        <v>192763.32000000004</v>
      </c>
      <c r="I29" s="358"/>
      <c r="J29" s="359"/>
      <c r="K29" s="355"/>
    </row>
    <row r="30" spans="1:11" x14ac:dyDescent="0.55000000000000004">
      <c r="A30" s="354"/>
      <c r="B30" s="355"/>
      <c r="C30" s="355"/>
      <c r="D30" s="356"/>
      <c r="E30" s="356"/>
      <c r="F30" s="356"/>
      <c r="G30" s="357"/>
      <c r="H30" s="257">
        <f t="shared" si="1"/>
        <v>192763.32000000004</v>
      </c>
      <c r="I30" s="358"/>
      <c r="J30" s="359"/>
      <c r="K30" s="355"/>
    </row>
    <row r="31" spans="1:11" x14ac:dyDescent="0.55000000000000004">
      <c r="A31" s="354"/>
      <c r="B31" s="355"/>
      <c r="C31" s="355"/>
      <c r="D31" s="356"/>
      <c r="E31" s="356"/>
      <c r="F31" s="356"/>
      <c r="G31" s="357"/>
      <c r="H31" s="257">
        <f t="shared" si="1"/>
        <v>192763.32000000004</v>
      </c>
      <c r="I31" s="358"/>
      <c r="J31" s="359"/>
      <c r="K31" s="355"/>
    </row>
    <row r="32" spans="1:11" x14ac:dyDescent="0.55000000000000004">
      <c r="A32" s="354"/>
      <c r="B32" s="355"/>
      <c r="C32" s="355"/>
      <c r="D32" s="356"/>
      <c r="E32" s="356"/>
      <c r="F32" s="356"/>
      <c r="G32" s="357"/>
      <c r="H32" s="257">
        <f t="shared" si="1"/>
        <v>192763.32000000004</v>
      </c>
      <c r="I32" s="358"/>
      <c r="J32" s="359"/>
      <c r="K32" s="355"/>
    </row>
    <row r="33" spans="1:11" x14ac:dyDescent="0.55000000000000004">
      <c r="A33" s="354"/>
      <c r="B33" s="355"/>
      <c r="C33" s="355"/>
      <c r="D33" s="356"/>
      <c r="E33" s="356"/>
      <c r="F33" s="356"/>
      <c r="G33" s="357"/>
      <c r="H33" s="265">
        <f t="shared" si="1"/>
        <v>192763.32000000004</v>
      </c>
      <c r="I33" s="358"/>
      <c r="J33" s="359"/>
      <c r="K33" s="355"/>
    </row>
    <row r="34" spans="1:11" x14ac:dyDescent="0.55000000000000004">
      <c r="A34" s="354"/>
      <c r="B34" s="355"/>
      <c r="C34" s="355"/>
      <c r="D34" s="356"/>
      <c r="E34" s="356"/>
      <c r="F34" s="356"/>
      <c r="G34" s="357"/>
      <c r="H34" s="257">
        <f t="shared" si="1"/>
        <v>192763.32000000004</v>
      </c>
      <c r="I34" s="358"/>
      <c r="J34" s="359"/>
      <c r="K34" s="355"/>
    </row>
    <row r="35" spans="1:11" x14ac:dyDescent="0.55000000000000004">
      <c r="A35" s="354"/>
      <c r="B35" s="355"/>
      <c r="C35" s="355"/>
      <c r="D35" s="356"/>
      <c r="E35" s="356"/>
      <c r="F35" s="356"/>
      <c r="G35" s="357"/>
      <c r="H35" s="257">
        <f t="shared" si="1"/>
        <v>192763.32000000004</v>
      </c>
      <c r="I35" s="358"/>
      <c r="J35" s="359"/>
      <c r="K35" s="355"/>
    </row>
    <row r="36" spans="1:11" x14ac:dyDescent="0.55000000000000004">
      <c r="A36" s="354"/>
      <c r="B36" s="355"/>
      <c r="C36" s="355"/>
      <c r="D36" s="356"/>
      <c r="E36" s="356"/>
      <c r="F36" s="356"/>
      <c r="G36" s="357"/>
      <c r="H36" s="257">
        <f t="shared" si="1"/>
        <v>192763.32000000004</v>
      </c>
      <c r="I36" s="358"/>
      <c r="J36" s="359"/>
      <c r="K36" s="355"/>
    </row>
    <row r="37" spans="1:11" x14ac:dyDescent="0.55000000000000004">
      <c r="A37" s="354"/>
      <c r="B37" s="355"/>
      <c r="C37" s="355"/>
      <c r="D37" s="356"/>
      <c r="E37" s="356"/>
      <c r="F37" s="356"/>
      <c r="G37" s="357"/>
      <c r="H37" s="257">
        <f t="shared" si="1"/>
        <v>192763.32000000004</v>
      </c>
      <c r="I37" s="358"/>
      <c r="J37" s="359"/>
      <c r="K37" s="355"/>
    </row>
    <row r="38" spans="1:11" x14ac:dyDescent="0.55000000000000004">
      <c r="A38" s="354"/>
      <c r="B38" s="355"/>
      <c r="C38" s="355"/>
      <c r="D38" s="356"/>
      <c r="E38" s="356"/>
      <c r="F38" s="356"/>
      <c r="G38" s="357"/>
      <c r="H38" s="265">
        <f t="shared" si="1"/>
        <v>192763.32000000004</v>
      </c>
      <c r="I38" s="358"/>
      <c r="J38" s="359"/>
      <c r="K38" s="355"/>
    </row>
    <row r="39" spans="1:11" x14ac:dyDescent="0.55000000000000004">
      <c r="A39" s="354"/>
      <c r="B39" s="355"/>
      <c r="C39" s="355"/>
      <c r="D39" s="356"/>
      <c r="E39" s="356"/>
      <c r="F39" s="356"/>
      <c r="G39" s="357"/>
      <c r="H39" s="257">
        <f t="shared" si="1"/>
        <v>192763.32000000004</v>
      </c>
      <c r="I39" s="358"/>
      <c r="J39" s="359"/>
      <c r="K39" s="355"/>
    </row>
    <row r="40" spans="1:11" x14ac:dyDescent="0.55000000000000004">
      <c r="A40" s="354"/>
      <c r="B40" s="355"/>
      <c r="C40" s="355"/>
      <c r="D40" s="356"/>
      <c r="E40" s="356"/>
      <c r="F40" s="356"/>
      <c r="G40" s="357"/>
      <c r="H40" s="257">
        <f t="shared" si="1"/>
        <v>192763.32000000004</v>
      </c>
      <c r="I40" s="358"/>
      <c r="J40" s="359"/>
      <c r="K40" s="355"/>
    </row>
    <row r="41" spans="1:11" x14ac:dyDescent="0.55000000000000004">
      <c r="A41" s="354"/>
      <c r="B41" s="355"/>
      <c r="C41" s="355"/>
      <c r="D41" s="356"/>
      <c r="E41" s="356"/>
      <c r="F41" s="356"/>
      <c r="G41" s="357"/>
      <c r="H41" s="257">
        <f t="shared" si="1"/>
        <v>192763.32000000004</v>
      </c>
      <c r="I41" s="358"/>
      <c r="J41" s="359"/>
      <c r="K41" s="355"/>
    </row>
    <row r="42" spans="1:11" x14ac:dyDescent="0.55000000000000004">
      <c r="A42" s="354"/>
      <c r="B42" s="355"/>
      <c r="C42" s="355"/>
      <c r="D42" s="356"/>
      <c r="E42" s="356"/>
      <c r="F42" s="356"/>
      <c r="G42" s="357"/>
      <c r="H42" s="257">
        <f t="shared" si="1"/>
        <v>192763.32000000004</v>
      </c>
      <c r="I42" s="358"/>
      <c r="J42" s="359"/>
      <c r="K42" s="355"/>
    </row>
    <row r="43" spans="1:11" x14ac:dyDescent="0.55000000000000004">
      <c r="A43" s="354"/>
      <c r="B43" s="355"/>
      <c r="C43" s="355"/>
      <c r="D43" s="356"/>
      <c r="E43" s="356"/>
      <c r="F43" s="356"/>
      <c r="G43" s="357"/>
      <c r="H43" s="265">
        <f t="shared" si="1"/>
        <v>192763.32000000004</v>
      </c>
      <c r="I43" s="358"/>
      <c r="J43" s="359"/>
      <c r="K43" s="355"/>
    </row>
    <row r="44" spans="1:11" x14ac:dyDescent="0.55000000000000004">
      <c r="A44" s="354"/>
      <c r="B44" s="355"/>
      <c r="C44" s="355"/>
      <c r="D44" s="356"/>
      <c r="E44" s="356"/>
      <c r="F44" s="356"/>
      <c r="G44" s="357"/>
      <c r="H44" s="257">
        <f t="shared" si="1"/>
        <v>192763.32000000004</v>
      </c>
      <c r="I44" s="358"/>
      <c r="J44" s="359"/>
      <c r="K44" s="355"/>
    </row>
    <row r="45" spans="1:11" x14ac:dyDescent="0.55000000000000004">
      <c r="A45" s="331" t="s">
        <v>259</v>
      </c>
      <c r="B45" s="332"/>
      <c r="C45" s="333"/>
      <c r="D45" s="275">
        <f>SUM(D4:D28)</f>
        <v>108113.34</v>
      </c>
      <c r="E45" s="275">
        <f>SUM(E4:E27)</f>
        <v>46123.34</v>
      </c>
      <c r="F45" s="275">
        <f>SUM(F4:F28)</f>
        <v>13000</v>
      </c>
      <c r="G45" s="276">
        <f>D45+E45+F45</f>
        <v>167236.68</v>
      </c>
      <c r="H45" s="272"/>
      <c r="I45" s="252"/>
      <c r="J45" s="252"/>
      <c r="K45" s="252"/>
    </row>
  </sheetData>
  <mergeCells count="3">
    <mergeCell ref="A1:H1"/>
    <mergeCell ref="A3:C3"/>
    <mergeCell ref="A45:C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F8E8-F412-4A87-9FF1-70635806475D}">
  <sheetPr>
    <tabColor theme="6" tint="0.39997558519241921"/>
  </sheetPr>
  <dimension ref="A1:Q37"/>
  <sheetViews>
    <sheetView view="pageBreakPreview" zoomScale="80" zoomScaleNormal="80" zoomScaleSheetLayoutView="80" workbookViewId="0">
      <selection activeCell="A5" sqref="A5:XFD5"/>
    </sheetView>
  </sheetViews>
  <sheetFormatPr defaultColWidth="9" defaultRowHeight="23.25" x14ac:dyDescent="0.2"/>
  <cols>
    <col min="1" max="1" width="6.25" style="5" customWidth="1"/>
    <col min="2" max="2" width="56" style="5" customWidth="1"/>
    <col min="3" max="14" width="15.625" style="197" customWidth="1"/>
    <col min="15" max="15" width="17.875" style="197" customWidth="1"/>
    <col min="16" max="16" width="26.375" style="5" customWidth="1"/>
    <col min="17" max="17" width="27.125" style="5" customWidth="1"/>
    <col min="18" max="18" width="29.875" style="5" customWidth="1"/>
    <col min="19" max="16384" width="9" style="5"/>
  </cols>
  <sheetData>
    <row r="1" spans="1:17" s="3" customFormat="1" ht="45" customHeight="1" x14ac:dyDescent="0.2">
      <c r="A1" s="1" t="s">
        <v>0</v>
      </c>
      <c r="B1" s="1" t="s">
        <v>1</v>
      </c>
      <c r="C1" s="58" t="s">
        <v>2</v>
      </c>
      <c r="D1" s="58" t="s">
        <v>65</v>
      </c>
      <c r="E1" s="58" t="s">
        <v>67</v>
      </c>
      <c r="F1" s="58" t="s">
        <v>150</v>
      </c>
      <c r="G1" s="188">
        <v>25112</v>
      </c>
      <c r="H1" s="188">
        <v>25143</v>
      </c>
      <c r="I1" s="188">
        <v>25173</v>
      </c>
      <c r="J1" s="188">
        <v>25204</v>
      </c>
      <c r="K1" s="188">
        <v>25235</v>
      </c>
      <c r="L1" s="188">
        <v>25263</v>
      </c>
      <c r="M1" s="188">
        <v>25294</v>
      </c>
      <c r="N1" s="188">
        <v>25324</v>
      </c>
      <c r="O1" s="58" t="s">
        <v>66</v>
      </c>
      <c r="P1" s="242"/>
      <c r="Q1" s="242"/>
    </row>
    <row r="2" spans="1:17" s="48" customFormat="1" ht="30.75" x14ac:dyDescent="0.2">
      <c r="A2" s="166">
        <v>1</v>
      </c>
      <c r="B2" s="167" t="s">
        <v>8</v>
      </c>
      <c r="C2" s="189">
        <v>30000</v>
      </c>
      <c r="D2" s="189"/>
      <c r="E2" s="189"/>
      <c r="F2" s="189">
        <f>C2-D2+E2</f>
        <v>30000</v>
      </c>
      <c r="G2" s="189"/>
      <c r="H2" s="189"/>
      <c r="I2" s="189"/>
      <c r="J2" s="189"/>
      <c r="K2" s="189"/>
      <c r="L2" s="189">
        <v>3000</v>
      </c>
      <c r="M2" s="189"/>
      <c r="N2" s="189"/>
      <c r="O2" s="189">
        <f>F2-G2-H2-I2-J2-K2-L2-M2-N2</f>
        <v>27000</v>
      </c>
      <c r="P2" s="243"/>
      <c r="Q2" s="244"/>
    </row>
    <row r="3" spans="1:17" x14ac:dyDescent="0.2">
      <c r="A3" s="2">
        <v>2</v>
      </c>
      <c r="B3" s="190" t="s">
        <v>9</v>
      </c>
      <c r="C3" s="191">
        <v>2000</v>
      </c>
      <c r="D3" s="191"/>
      <c r="E3" s="191">
        <v>2000</v>
      </c>
      <c r="F3" s="189">
        <f t="shared" ref="F3:F22" si="0">C3-D3+E3</f>
        <v>4000</v>
      </c>
      <c r="G3" s="191"/>
      <c r="H3" s="191"/>
      <c r="I3" s="191"/>
      <c r="J3" s="191"/>
      <c r="K3" s="191"/>
      <c r="L3" s="191"/>
      <c r="M3" s="191"/>
      <c r="N3" s="191"/>
      <c r="O3" s="189">
        <f t="shared" ref="O3:O22" si="1">F3-G3-H3-I3-J3-K3-L3-M3-N3</f>
        <v>4000</v>
      </c>
      <c r="P3" s="245"/>
      <c r="Q3" s="245"/>
    </row>
    <row r="4" spans="1:17" ht="29.25" customHeight="1" x14ac:dyDescent="0.2">
      <c r="A4" s="2">
        <v>3</v>
      </c>
      <c r="B4" s="190" t="s">
        <v>10</v>
      </c>
      <c r="C4" s="191">
        <v>1000</v>
      </c>
      <c r="D4" s="191"/>
      <c r="E4" s="191"/>
      <c r="F4" s="189">
        <f t="shared" si="0"/>
        <v>1000</v>
      </c>
      <c r="G4" s="191"/>
      <c r="H4" s="191"/>
      <c r="I4" s="191"/>
      <c r="J4" s="191"/>
      <c r="K4" s="191"/>
      <c r="L4" s="191"/>
      <c r="M4" s="191"/>
      <c r="N4" s="191"/>
      <c r="O4" s="189">
        <f t="shared" si="1"/>
        <v>1000</v>
      </c>
      <c r="P4" s="245"/>
      <c r="Q4" s="245"/>
    </row>
    <row r="5" spans="1:17" x14ac:dyDescent="0.2">
      <c r="A5" s="2">
        <v>4</v>
      </c>
      <c r="B5" s="190" t="s">
        <v>15</v>
      </c>
      <c r="C5" s="191">
        <f>170000+40000</f>
        <v>210000</v>
      </c>
      <c r="D5" s="191"/>
      <c r="E5" s="191"/>
      <c r="F5" s="189">
        <f t="shared" si="0"/>
        <v>210000</v>
      </c>
      <c r="G5" s="191">
        <v>20000</v>
      </c>
      <c r="H5" s="191">
        <v>13500</v>
      </c>
      <c r="I5" s="191">
        <v>10500</v>
      </c>
      <c r="J5" s="191"/>
      <c r="K5" s="191">
        <v>4820</v>
      </c>
      <c r="L5" s="191"/>
      <c r="M5" s="191"/>
      <c r="N5" s="191">
        <v>14890</v>
      </c>
      <c r="O5" s="189">
        <f t="shared" si="1"/>
        <v>146290</v>
      </c>
      <c r="P5" s="246" t="s">
        <v>94</v>
      </c>
      <c r="Q5" s="245"/>
    </row>
    <row r="6" spans="1:17" x14ac:dyDescent="0.2">
      <c r="A6" s="2">
        <v>5</v>
      </c>
      <c r="B6" s="190" t="s">
        <v>16</v>
      </c>
      <c r="C6" s="191">
        <v>35000</v>
      </c>
      <c r="D6" s="191"/>
      <c r="E6" s="191">
        <v>100000</v>
      </c>
      <c r="F6" s="189">
        <f t="shared" si="0"/>
        <v>135000</v>
      </c>
      <c r="G6" s="191"/>
      <c r="H6" s="191"/>
      <c r="I6" s="191"/>
      <c r="J6" s="191"/>
      <c r="K6" s="191"/>
      <c r="L6" s="191"/>
      <c r="M6" s="191"/>
      <c r="N6" s="191"/>
      <c r="O6" s="189">
        <f t="shared" si="1"/>
        <v>135000</v>
      </c>
      <c r="P6" s="245"/>
      <c r="Q6" s="245"/>
    </row>
    <row r="7" spans="1:17" x14ac:dyDescent="0.2">
      <c r="A7" s="2">
        <v>6</v>
      </c>
      <c r="B7" s="190" t="s">
        <v>21</v>
      </c>
      <c r="C7" s="191">
        <v>40626.75</v>
      </c>
      <c r="D7" s="191"/>
      <c r="E7" s="191"/>
      <c r="F7" s="189">
        <f t="shared" si="0"/>
        <v>40626.75</v>
      </c>
      <c r="G7" s="191"/>
      <c r="H7" s="191"/>
      <c r="I7" s="191"/>
      <c r="J7" s="191"/>
      <c r="K7" s="191"/>
      <c r="L7" s="69">
        <v>7392</v>
      </c>
      <c r="M7" s="69"/>
      <c r="N7" s="69"/>
      <c r="O7" s="189">
        <f t="shared" si="1"/>
        <v>33234.75</v>
      </c>
      <c r="P7" s="245"/>
      <c r="Q7" s="245"/>
    </row>
    <row r="8" spans="1:17" ht="23.45" customHeight="1" x14ac:dyDescent="0.2">
      <c r="A8" s="2">
        <v>7</v>
      </c>
      <c r="B8" s="190" t="s">
        <v>61</v>
      </c>
      <c r="C8" s="191">
        <v>37000</v>
      </c>
      <c r="D8" s="191"/>
      <c r="E8" s="191"/>
      <c r="F8" s="189">
        <f t="shared" si="0"/>
        <v>37000</v>
      </c>
      <c r="G8" s="191"/>
      <c r="H8" s="191"/>
      <c r="I8" s="191"/>
      <c r="J8" s="191"/>
      <c r="K8" s="191"/>
      <c r="L8" s="191"/>
      <c r="M8" s="191"/>
      <c r="N8" s="191"/>
      <c r="O8" s="189">
        <f t="shared" si="1"/>
        <v>37000</v>
      </c>
      <c r="P8" s="245"/>
      <c r="Q8" s="245"/>
    </row>
    <row r="9" spans="1:17" x14ac:dyDescent="0.2">
      <c r="A9" s="2">
        <v>8</v>
      </c>
      <c r="B9" s="190" t="s">
        <v>22</v>
      </c>
      <c r="C9" s="191">
        <v>30000</v>
      </c>
      <c r="D9" s="191"/>
      <c r="E9" s="191"/>
      <c r="F9" s="189">
        <f t="shared" si="0"/>
        <v>30000</v>
      </c>
      <c r="G9" s="191"/>
      <c r="H9" s="191"/>
      <c r="I9" s="191"/>
      <c r="J9" s="191">
        <v>30000</v>
      </c>
      <c r="K9" s="191"/>
      <c r="L9" s="191"/>
      <c r="M9" s="191"/>
      <c r="N9" s="191"/>
      <c r="O9" s="189">
        <f t="shared" si="1"/>
        <v>0</v>
      </c>
      <c r="P9" s="245"/>
      <c r="Q9" s="245"/>
    </row>
    <row r="10" spans="1:17" x14ac:dyDescent="0.2">
      <c r="A10" s="2">
        <v>9</v>
      </c>
      <c r="B10" s="190" t="s">
        <v>26</v>
      </c>
      <c r="C10" s="191">
        <v>30000</v>
      </c>
      <c r="D10" s="191"/>
      <c r="E10" s="191"/>
      <c r="F10" s="189">
        <f t="shared" si="0"/>
        <v>30000</v>
      </c>
      <c r="G10" s="191"/>
      <c r="H10" s="191"/>
      <c r="I10" s="191"/>
      <c r="J10" s="191"/>
      <c r="K10" s="191"/>
      <c r="L10" s="191"/>
      <c r="M10" s="191"/>
      <c r="N10" s="191"/>
      <c r="O10" s="189">
        <f t="shared" si="1"/>
        <v>30000</v>
      </c>
      <c r="P10" s="245"/>
      <c r="Q10" s="245"/>
    </row>
    <row r="11" spans="1:17" ht="56.25" customHeight="1" x14ac:dyDescent="0.2">
      <c r="A11" s="2">
        <v>10</v>
      </c>
      <c r="B11" s="190" t="s">
        <v>41</v>
      </c>
      <c r="C11" s="191">
        <v>7500</v>
      </c>
      <c r="D11" s="191"/>
      <c r="E11" s="191"/>
      <c r="F11" s="189">
        <f t="shared" si="0"/>
        <v>7500</v>
      </c>
      <c r="G11" s="191"/>
      <c r="H11" s="191"/>
      <c r="I11" s="191"/>
      <c r="J11" s="191"/>
      <c r="K11" s="191"/>
      <c r="L11" s="191"/>
      <c r="M11" s="191"/>
      <c r="N11" s="191">
        <v>7500</v>
      </c>
      <c r="O11" s="189">
        <f t="shared" si="1"/>
        <v>0</v>
      </c>
      <c r="P11" s="245"/>
      <c r="Q11" s="245"/>
    </row>
    <row r="12" spans="1:17" ht="46.5" x14ac:dyDescent="0.2">
      <c r="A12" s="2">
        <v>11</v>
      </c>
      <c r="B12" s="190" t="s">
        <v>33</v>
      </c>
      <c r="C12" s="193">
        <v>20000</v>
      </c>
      <c r="D12" s="193"/>
      <c r="E12" s="193"/>
      <c r="F12" s="189">
        <f t="shared" si="0"/>
        <v>20000</v>
      </c>
      <c r="G12" s="193"/>
      <c r="H12" s="193"/>
      <c r="I12" s="193"/>
      <c r="J12" s="193"/>
      <c r="K12" s="193"/>
      <c r="L12" s="193"/>
      <c r="M12" s="193"/>
      <c r="N12" s="193"/>
      <c r="O12" s="189">
        <f t="shared" si="1"/>
        <v>20000</v>
      </c>
      <c r="P12" s="245"/>
      <c r="Q12" s="245"/>
    </row>
    <row r="13" spans="1:17" ht="33.75" customHeight="1" x14ac:dyDescent="0.2">
      <c r="A13" s="2">
        <v>12</v>
      </c>
      <c r="B13" s="190" t="s">
        <v>71</v>
      </c>
      <c r="C13" s="193">
        <v>5000</v>
      </c>
      <c r="D13" s="193"/>
      <c r="E13" s="193"/>
      <c r="F13" s="189">
        <f t="shared" si="0"/>
        <v>5000</v>
      </c>
      <c r="G13" s="193"/>
      <c r="H13" s="193"/>
      <c r="I13" s="193"/>
      <c r="J13" s="193"/>
      <c r="K13" s="193">
        <v>4740</v>
      </c>
      <c r="L13" s="193"/>
      <c r="M13" s="193"/>
      <c r="N13" s="193"/>
      <c r="O13" s="189">
        <f t="shared" si="1"/>
        <v>260</v>
      </c>
      <c r="P13" s="245"/>
      <c r="Q13" s="245"/>
    </row>
    <row r="14" spans="1:17" ht="35.25" customHeight="1" x14ac:dyDescent="0.2">
      <c r="A14" s="2">
        <v>13</v>
      </c>
      <c r="B14" s="190" t="s">
        <v>35</v>
      </c>
      <c r="C14" s="193">
        <v>60000</v>
      </c>
      <c r="D14" s="193"/>
      <c r="E14" s="193"/>
      <c r="F14" s="189">
        <f t="shared" si="0"/>
        <v>60000</v>
      </c>
      <c r="G14" s="193"/>
      <c r="H14" s="193"/>
      <c r="I14" s="193"/>
      <c r="J14" s="193">
        <v>60000</v>
      </c>
      <c r="K14" s="193"/>
      <c r="L14" s="193"/>
      <c r="M14" s="193"/>
      <c r="N14" s="193"/>
      <c r="O14" s="189">
        <f t="shared" si="1"/>
        <v>0</v>
      </c>
      <c r="P14" s="245"/>
      <c r="Q14" s="245"/>
    </row>
    <row r="15" spans="1:17" x14ac:dyDescent="0.2">
      <c r="A15" s="2">
        <v>14</v>
      </c>
      <c r="B15" s="190" t="s">
        <v>43</v>
      </c>
      <c r="C15" s="193">
        <v>25000</v>
      </c>
      <c r="D15" s="193"/>
      <c r="E15" s="193"/>
      <c r="F15" s="189">
        <f t="shared" si="0"/>
        <v>25000</v>
      </c>
      <c r="G15" s="193"/>
      <c r="H15" s="193"/>
      <c r="I15" s="193"/>
      <c r="J15" s="193"/>
      <c r="K15" s="193"/>
      <c r="L15" s="193"/>
      <c r="M15" s="193"/>
      <c r="N15" s="193"/>
      <c r="O15" s="189">
        <f t="shared" si="1"/>
        <v>25000</v>
      </c>
      <c r="P15" s="245"/>
      <c r="Q15" s="245"/>
    </row>
    <row r="16" spans="1:17" x14ac:dyDescent="0.2">
      <c r="A16" s="2">
        <v>15</v>
      </c>
      <c r="B16" s="190" t="s">
        <v>44</v>
      </c>
      <c r="C16" s="193">
        <v>15000</v>
      </c>
      <c r="D16" s="193"/>
      <c r="E16" s="193"/>
      <c r="F16" s="189">
        <f t="shared" si="0"/>
        <v>15000</v>
      </c>
      <c r="G16" s="193"/>
      <c r="H16" s="193"/>
      <c r="I16" s="193"/>
      <c r="J16" s="193"/>
      <c r="K16" s="193"/>
      <c r="L16" s="193"/>
      <c r="M16" s="193"/>
      <c r="N16" s="193"/>
      <c r="O16" s="189">
        <f t="shared" si="1"/>
        <v>15000</v>
      </c>
      <c r="P16" s="245"/>
      <c r="Q16" s="245"/>
    </row>
    <row r="17" spans="1:17" x14ac:dyDescent="0.2">
      <c r="A17" s="2">
        <v>16</v>
      </c>
      <c r="B17" s="190" t="s">
        <v>72</v>
      </c>
      <c r="C17" s="193">
        <v>50000</v>
      </c>
      <c r="D17" s="193"/>
      <c r="E17" s="193"/>
      <c r="F17" s="189">
        <f t="shared" si="0"/>
        <v>50000</v>
      </c>
      <c r="G17" s="193"/>
      <c r="H17" s="193"/>
      <c r="I17" s="193"/>
      <c r="J17" s="193"/>
      <c r="K17" s="193">
        <v>35000</v>
      </c>
      <c r="L17" s="193"/>
      <c r="M17" s="193"/>
      <c r="N17" s="193">
        <v>15000</v>
      </c>
      <c r="O17" s="189">
        <f t="shared" si="1"/>
        <v>0</v>
      </c>
      <c r="P17" s="245"/>
      <c r="Q17" s="245"/>
    </row>
    <row r="18" spans="1:17" ht="46.5" x14ac:dyDescent="0.2">
      <c r="A18" s="2">
        <v>17</v>
      </c>
      <c r="B18" s="190" t="s">
        <v>95</v>
      </c>
      <c r="C18" s="193">
        <v>30000</v>
      </c>
      <c r="D18" s="193">
        <v>30000</v>
      </c>
      <c r="E18" s="193"/>
      <c r="F18" s="189">
        <f t="shared" si="0"/>
        <v>0</v>
      </c>
      <c r="G18" s="193"/>
      <c r="H18" s="193"/>
      <c r="I18" s="193"/>
      <c r="J18" s="193"/>
      <c r="K18" s="193"/>
      <c r="L18" s="193"/>
      <c r="M18" s="193"/>
      <c r="N18" s="193"/>
      <c r="O18" s="189">
        <f t="shared" si="1"/>
        <v>0</v>
      </c>
      <c r="P18" s="246" t="s">
        <v>96</v>
      </c>
      <c r="Q18" s="245"/>
    </row>
    <row r="19" spans="1:17" s="48" customFormat="1" x14ac:dyDescent="0.2">
      <c r="A19" s="166">
        <v>18</v>
      </c>
      <c r="B19" s="198" t="s">
        <v>23</v>
      </c>
      <c r="C19" s="199">
        <v>50000</v>
      </c>
      <c r="D19" s="199">
        <v>50000</v>
      </c>
      <c r="E19" s="199">
        <v>45000</v>
      </c>
      <c r="F19" s="189">
        <f t="shared" si="0"/>
        <v>45000</v>
      </c>
      <c r="G19" s="199"/>
      <c r="H19" s="199"/>
      <c r="I19" s="199"/>
      <c r="J19" s="199"/>
      <c r="K19" s="199"/>
      <c r="L19" s="199">
        <v>45000</v>
      </c>
      <c r="M19" s="199"/>
      <c r="N19" s="199"/>
      <c r="O19" s="189">
        <f t="shared" si="1"/>
        <v>0</v>
      </c>
      <c r="P19" s="244" t="s">
        <v>143</v>
      </c>
      <c r="Q19" s="244"/>
    </row>
    <row r="20" spans="1:17" ht="116.25" x14ac:dyDescent="0.2">
      <c r="A20" s="2">
        <v>19</v>
      </c>
      <c r="B20" s="190" t="s">
        <v>29</v>
      </c>
      <c r="C20" s="193">
        <v>67000</v>
      </c>
      <c r="D20" s="193"/>
      <c r="E20" s="193">
        <v>839000</v>
      </c>
      <c r="F20" s="189">
        <f t="shared" si="0"/>
        <v>906000</v>
      </c>
      <c r="G20" s="193"/>
      <c r="H20" s="193"/>
      <c r="I20" s="193"/>
      <c r="J20" s="193"/>
      <c r="K20" s="193"/>
      <c r="L20" s="70">
        <v>828000</v>
      </c>
      <c r="M20" s="70"/>
      <c r="N20" s="70"/>
      <c r="O20" s="189">
        <f t="shared" si="1"/>
        <v>78000</v>
      </c>
      <c r="P20" s="245" t="s">
        <v>142</v>
      </c>
      <c r="Q20" s="281" t="s">
        <v>262</v>
      </c>
    </row>
    <row r="21" spans="1:17" x14ac:dyDescent="0.2">
      <c r="A21" s="2">
        <v>20</v>
      </c>
      <c r="B21" s="190" t="s">
        <v>147</v>
      </c>
      <c r="C21" s="193"/>
      <c r="D21" s="193"/>
      <c r="E21" s="193">
        <v>17017.87</v>
      </c>
      <c r="F21" s="189">
        <f t="shared" si="0"/>
        <v>17017.87</v>
      </c>
      <c r="G21" s="193"/>
      <c r="H21" s="193"/>
      <c r="I21" s="193"/>
      <c r="J21" s="193"/>
      <c r="K21" s="193"/>
      <c r="L21" s="193">
        <v>17017.87</v>
      </c>
      <c r="M21" s="193"/>
      <c r="N21" s="193"/>
      <c r="O21" s="189">
        <f t="shared" si="1"/>
        <v>0</v>
      </c>
      <c r="P21" s="245"/>
      <c r="Q21" s="245"/>
    </row>
    <row r="22" spans="1:17" x14ac:dyDescent="0.2">
      <c r="A22" s="326" t="s">
        <v>5</v>
      </c>
      <c r="B22" s="326"/>
      <c r="C22" s="192">
        <f>SUM(C2:C20)</f>
        <v>745126.75</v>
      </c>
      <c r="D22" s="192">
        <f>SUM(D2:D21)</f>
        <v>80000</v>
      </c>
      <c r="E22" s="192">
        <f>SUM(E2:E21)</f>
        <v>1003017.87</v>
      </c>
      <c r="F22" s="194">
        <f t="shared" si="0"/>
        <v>1668144.62</v>
      </c>
      <c r="G22" s="192">
        <f>SUM(G2:G21)</f>
        <v>20000</v>
      </c>
      <c r="H22" s="192">
        <f t="shared" ref="H22:N22" si="2">SUM(H2:H21)</f>
        <v>13500</v>
      </c>
      <c r="I22" s="192">
        <f t="shared" si="2"/>
        <v>10500</v>
      </c>
      <c r="J22" s="192">
        <f t="shared" si="2"/>
        <v>90000</v>
      </c>
      <c r="K22" s="192">
        <f t="shared" si="2"/>
        <v>44560</v>
      </c>
      <c r="L22" s="192">
        <f t="shared" si="2"/>
        <v>900409.87</v>
      </c>
      <c r="M22" s="192">
        <f t="shared" si="2"/>
        <v>0</v>
      </c>
      <c r="N22" s="192">
        <f t="shared" si="2"/>
        <v>37390</v>
      </c>
      <c r="O22" s="189">
        <f t="shared" si="1"/>
        <v>551784.75000000012</v>
      </c>
      <c r="P22" s="245"/>
      <c r="Q22" s="245"/>
    </row>
    <row r="23" spans="1:17" x14ac:dyDescent="0.2">
      <c r="C23" s="195">
        <f>568088.64+177038.11</f>
        <v>745126.75</v>
      </c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</row>
    <row r="24" spans="1:17" ht="28.5" x14ac:dyDescent="0.2">
      <c r="C24" s="196">
        <f>C23-C22</f>
        <v>0</v>
      </c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</row>
    <row r="25" spans="1:17" x14ac:dyDescent="0.2"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</row>
    <row r="26" spans="1:17" x14ac:dyDescent="0.2"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</row>
    <row r="27" spans="1:17" x14ac:dyDescent="0.2"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</row>
    <row r="28" spans="1:17" x14ac:dyDescent="0.2"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</row>
    <row r="29" spans="1:17" x14ac:dyDescent="0.2"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</row>
    <row r="30" spans="1:17" x14ac:dyDescent="0.2"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</row>
    <row r="31" spans="1:17" x14ac:dyDescent="0.2"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</row>
    <row r="32" spans="1:17" x14ac:dyDescent="0.2"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</row>
    <row r="33" spans="3:15" x14ac:dyDescent="0.2"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</row>
    <row r="34" spans="3:15" x14ac:dyDescent="0.2"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</row>
    <row r="35" spans="3:15" x14ac:dyDescent="0.2"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</row>
    <row r="36" spans="3:15" x14ac:dyDescent="0.2"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</row>
    <row r="37" spans="3:15" x14ac:dyDescent="0.2"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</row>
  </sheetData>
  <mergeCells count="1">
    <mergeCell ref="A22:B22"/>
  </mergeCells>
  <phoneticPr fontId="2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57B5-C143-4B14-9823-AFAA4F9705FC}">
  <dimension ref="A1:L21"/>
  <sheetViews>
    <sheetView zoomScale="90" zoomScaleNormal="90" workbookViewId="0">
      <selection activeCell="B17" sqref="B17"/>
    </sheetView>
  </sheetViews>
  <sheetFormatPr defaultRowHeight="23.25" x14ac:dyDescent="0.5"/>
  <cols>
    <col min="1" max="1" width="9" style="313"/>
    <col min="2" max="2" width="37.25" style="295" customWidth="1"/>
    <col min="3" max="3" width="49.25" style="295" customWidth="1"/>
    <col min="4" max="5" width="20" style="314" customWidth="1"/>
    <col min="6" max="6" width="20" style="314" hidden="1" customWidth="1"/>
    <col min="7" max="7" width="20" style="315" customWidth="1"/>
    <col min="8" max="8" width="18" style="314" customWidth="1"/>
    <col min="9" max="9" width="16.125" style="295" customWidth="1"/>
    <col min="10" max="10" width="19.75" style="295" customWidth="1"/>
    <col min="11" max="11" width="18.375" style="295" customWidth="1"/>
    <col min="12" max="12" width="16.75" style="295" customWidth="1"/>
    <col min="13" max="16384" width="9" style="295"/>
  </cols>
  <sheetData>
    <row r="1" spans="1:12" x14ac:dyDescent="0.5">
      <c r="A1" s="334" t="s">
        <v>171</v>
      </c>
      <c r="B1" s="334"/>
      <c r="C1" s="334"/>
      <c r="D1" s="334"/>
      <c r="E1" s="334"/>
      <c r="F1" s="334"/>
      <c r="G1" s="334"/>
      <c r="H1" s="334"/>
    </row>
    <row r="2" spans="1:12" x14ac:dyDescent="0.5">
      <c r="A2" s="303" t="s">
        <v>0</v>
      </c>
      <c r="B2" s="303" t="s">
        <v>172</v>
      </c>
      <c r="C2" s="303" t="s">
        <v>173</v>
      </c>
      <c r="D2" s="304" t="s">
        <v>174</v>
      </c>
      <c r="E2" s="304" t="s">
        <v>175</v>
      </c>
      <c r="F2" s="304" t="s">
        <v>176</v>
      </c>
      <c r="G2" s="305" t="s">
        <v>177</v>
      </c>
      <c r="H2" s="304" t="s">
        <v>178</v>
      </c>
      <c r="I2" s="290" t="s">
        <v>179</v>
      </c>
      <c r="J2" s="290" t="s">
        <v>180</v>
      </c>
      <c r="K2" s="290" t="s">
        <v>180</v>
      </c>
    </row>
    <row r="3" spans="1:12" x14ac:dyDescent="0.5">
      <c r="A3" s="335" t="s">
        <v>181</v>
      </c>
      <c r="B3" s="336"/>
      <c r="C3" s="337"/>
      <c r="D3" s="304"/>
      <c r="E3" s="304"/>
      <c r="F3" s="304"/>
      <c r="G3" s="305"/>
      <c r="H3" s="304">
        <v>210000</v>
      </c>
      <c r="I3" s="290"/>
      <c r="J3" s="290"/>
      <c r="K3" s="290"/>
    </row>
    <row r="4" spans="1:12" s="298" customFormat="1" x14ac:dyDescent="0.2">
      <c r="A4" s="289">
        <v>1</v>
      </c>
      <c r="B4" s="294" t="s">
        <v>270</v>
      </c>
      <c r="C4" s="296"/>
      <c r="D4" s="288">
        <v>6910</v>
      </c>
      <c r="E4" s="288"/>
      <c r="F4" s="288"/>
      <c r="G4" s="292">
        <f>D4+E4+F4</f>
        <v>6910</v>
      </c>
      <c r="H4" s="288">
        <f>H3-G4</f>
        <v>203090</v>
      </c>
      <c r="I4" s="306" t="s">
        <v>271</v>
      </c>
      <c r="J4" s="307">
        <v>25337</v>
      </c>
      <c r="K4" s="294"/>
    </row>
    <row r="5" spans="1:12" s="298" customFormat="1" x14ac:dyDescent="0.2">
      <c r="A5" s="289">
        <v>2</v>
      </c>
      <c r="B5" s="294" t="s">
        <v>273</v>
      </c>
      <c r="C5" s="296"/>
      <c r="D5" s="288">
        <v>4000</v>
      </c>
      <c r="E5" s="288"/>
      <c r="F5" s="288"/>
      <c r="G5" s="292">
        <f t="shared" ref="G5:G21" si="0">D5+E5+F5</f>
        <v>4000</v>
      </c>
      <c r="H5" s="288">
        <f t="shared" ref="H5:H21" si="1">H4-G5</f>
        <v>199090</v>
      </c>
      <c r="I5" s="308" t="s">
        <v>274</v>
      </c>
      <c r="J5" s="307">
        <v>244512</v>
      </c>
      <c r="K5" s="294"/>
    </row>
    <row r="6" spans="1:12" s="298" customFormat="1" x14ac:dyDescent="0.5">
      <c r="A6" s="289">
        <v>3</v>
      </c>
      <c r="B6" s="309" t="s">
        <v>275</v>
      </c>
      <c r="C6" s="296"/>
      <c r="D6" s="288">
        <v>10000</v>
      </c>
      <c r="E6" s="288"/>
      <c r="F6" s="288"/>
      <c r="G6" s="292">
        <f t="shared" si="0"/>
        <v>10000</v>
      </c>
      <c r="H6" s="288">
        <f t="shared" si="1"/>
        <v>189090</v>
      </c>
      <c r="I6" s="306" t="s">
        <v>276</v>
      </c>
      <c r="J6" s="310">
        <v>244515</v>
      </c>
      <c r="K6" s="294"/>
    </row>
    <row r="7" spans="1:12" s="298" customFormat="1" x14ac:dyDescent="0.2">
      <c r="A7" s="289">
        <v>4</v>
      </c>
      <c r="B7" s="294" t="s">
        <v>277</v>
      </c>
      <c r="C7" s="296"/>
      <c r="D7" s="288">
        <v>20000</v>
      </c>
      <c r="E7" s="288"/>
      <c r="F7" s="288"/>
      <c r="G7" s="292">
        <f t="shared" si="0"/>
        <v>20000</v>
      </c>
      <c r="H7" s="288">
        <f t="shared" si="1"/>
        <v>169090</v>
      </c>
      <c r="I7" s="311" t="s">
        <v>272</v>
      </c>
      <c r="J7" s="311">
        <v>244287</v>
      </c>
      <c r="K7" s="294"/>
    </row>
    <row r="8" spans="1:12" s="298" customFormat="1" x14ac:dyDescent="0.2">
      <c r="A8" s="289">
        <v>5</v>
      </c>
      <c r="B8" s="294" t="s">
        <v>278</v>
      </c>
      <c r="C8" s="296"/>
      <c r="D8" s="288">
        <v>16700</v>
      </c>
      <c r="E8" s="288"/>
      <c r="F8" s="288"/>
      <c r="G8" s="292">
        <f t="shared" si="0"/>
        <v>16700</v>
      </c>
      <c r="H8" s="288">
        <f t="shared" si="1"/>
        <v>152390</v>
      </c>
      <c r="I8" s="297" t="s">
        <v>279</v>
      </c>
      <c r="J8" s="297" t="s">
        <v>280</v>
      </c>
      <c r="K8" s="297"/>
    </row>
    <row r="9" spans="1:12" s="298" customFormat="1" x14ac:dyDescent="0.5">
      <c r="A9" s="289">
        <v>6</v>
      </c>
      <c r="B9" s="312" t="s">
        <v>275</v>
      </c>
      <c r="C9" s="296"/>
      <c r="D9" s="288">
        <v>1500</v>
      </c>
      <c r="E9" s="288"/>
      <c r="F9" s="288"/>
      <c r="G9" s="292">
        <f t="shared" si="0"/>
        <v>1500</v>
      </c>
      <c r="H9" s="288">
        <f t="shared" si="1"/>
        <v>150890</v>
      </c>
      <c r="I9" s="297" t="s">
        <v>281</v>
      </c>
      <c r="J9" s="307">
        <v>244292</v>
      </c>
      <c r="K9" s="297"/>
    </row>
    <row r="10" spans="1:12" s="298" customFormat="1" x14ac:dyDescent="0.5">
      <c r="A10" s="289">
        <v>7</v>
      </c>
      <c r="B10" s="309" t="s">
        <v>278</v>
      </c>
      <c r="C10" s="296"/>
      <c r="D10" s="288">
        <v>10000</v>
      </c>
      <c r="E10" s="288"/>
      <c r="F10" s="288"/>
      <c r="G10" s="292">
        <f t="shared" si="0"/>
        <v>10000</v>
      </c>
      <c r="H10" s="288">
        <f t="shared" si="1"/>
        <v>140890</v>
      </c>
      <c r="I10" s="297" t="s">
        <v>282</v>
      </c>
      <c r="J10" s="307">
        <v>244312</v>
      </c>
      <c r="K10" s="297"/>
    </row>
    <row r="11" spans="1:12" s="298" customFormat="1" x14ac:dyDescent="0.5">
      <c r="A11" s="289">
        <v>8</v>
      </c>
      <c r="B11" s="294" t="s">
        <v>284</v>
      </c>
      <c r="C11" s="296"/>
      <c r="D11" s="288">
        <v>1000</v>
      </c>
      <c r="E11" s="288">
        <v>1820</v>
      </c>
      <c r="F11" s="288"/>
      <c r="G11" s="292">
        <f t="shared" si="0"/>
        <v>2820</v>
      </c>
      <c r="H11" s="288">
        <f t="shared" si="1"/>
        <v>138070</v>
      </c>
      <c r="I11" s="309" t="s">
        <v>283</v>
      </c>
      <c r="J11" s="307">
        <v>244314</v>
      </c>
      <c r="K11" s="294" t="s">
        <v>298</v>
      </c>
      <c r="L11" s="298" t="s">
        <v>300</v>
      </c>
    </row>
    <row r="12" spans="1:12" s="298" customFormat="1" x14ac:dyDescent="0.2">
      <c r="A12" s="289">
        <v>9</v>
      </c>
      <c r="B12" s="294" t="s">
        <v>291</v>
      </c>
      <c r="C12" s="296"/>
      <c r="D12" s="288">
        <v>1000</v>
      </c>
      <c r="E12" s="288">
        <v>1500</v>
      </c>
      <c r="F12" s="288"/>
      <c r="G12" s="292">
        <f t="shared" si="0"/>
        <v>2500</v>
      </c>
      <c r="H12" s="288">
        <f t="shared" si="1"/>
        <v>135570</v>
      </c>
      <c r="I12" s="297" t="s">
        <v>285</v>
      </c>
      <c r="J12" s="307">
        <v>244314</v>
      </c>
      <c r="K12" s="294" t="s">
        <v>299</v>
      </c>
      <c r="L12" s="298" t="s">
        <v>301</v>
      </c>
    </row>
    <row r="13" spans="1:12" s="298" customFormat="1" x14ac:dyDescent="0.2">
      <c r="A13" s="289">
        <v>10</v>
      </c>
      <c r="B13" s="294" t="s">
        <v>286</v>
      </c>
      <c r="C13" s="296"/>
      <c r="D13" s="288">
        <v>1000</v>
      </c>
      <c r="E13" s="288"/>
      <c r="F13" s="288"/>
      <c r="G13" s="292">
        <f t="shared" si="0"/>
        <v>1000</v>
      </c>
      <c r="H13" s="288">
        <f t="shared" si="1"/>
        <v>134570</v>
      </c>
      <c r="I13" s="297" t="s">
        <v>287</v>
      </c>
      <c r="J13" s="297" t="s">
        <v>288</v>
      </c>
      <c r="K13" s="294"/>
    </row>
    <row r="14" spans="1:12" s="298" customFormat="1" x14ac:dyDescent="0.2">
      <c r="A14" s="289">
        <v>11</v>
      </c>
      <c r="B14" s="294" t="s">
        <v>290</v>
      </c>
      <c r="C14" s="296"/>
      <c r="D14" s="288">
        <v>5000</v>
      </c>
      <c r="E14" s="288"/>
      <c r="F14" s="288"/>
      <c r="G14" s="292">
        <f t="shared" si="0"/>
        <v>5000</v>
      </c>
      <c r="H14" s="288">
        <f t="shared" si="1"/>
        <v>129570</v>
      </c>
      <c r="I14" s="297" t="s">
        <v>289</v>
      </c>
      <c r="J14" s="307">
        <v>244330</v>
      </c>
      <c r="K14" s="294"/>
    </row>
    <row r="15" spans="1:12" s="298" customFormat="1" x14ac:dyDescent="0.2">
      <c r="A15" s="289">
        <v>12</v>
      </c>
      <c r="B15" s="294" t="s">
        <v>293</v>
      </c>
      <c r="C15" s="296"/>
      <c r="D15" s="288">
        <v>3000</v>
      </c>
      <c r="E15" s="288"/>
      <c r="F15" s="288"/>
      <c r="G15" s="292">
        <f t="shared" si="0"/>
        <v>3000</v>
      </c>
      <c r="H15" s="288">
        <f t="shared" si="1"/>
        <v>126570</v>
      </c>
      <c r="I15" s="297" t="s">
        <v>292</v>
      </c>
      <c r="J15" s="297" t="s">
        <v>294</v>
      </c>
      <c r="K15" s="294"/>
    </row>
    <row r="16" spans="1:12" x14ac:dyDescent="0.5">
      <c r="A16" s="289">
        <v>13</v>
      </c>
      <c r="B16" s="290" t="s">
        <v>297</v>
      </c>
      <c r="C16" s="290"/>
      <c r="D16" s="291">
        <v>1500</v>
      </c>
      <c r="E16" s="291"/>
      <c r="F16" s="291"/>
      <c r="G16" s="292">
        <f t="shared" si="0"/>
        <v>1500</v>
      </c>
      <c r="H16" s="288">
        <f t="shared" si="1"/>
        <v>125070</v>
      </c>
      <c r="I16" s="293" t="s">
        <v>295</v>
      </c>
      <c r="J16" s="293" t="s">
        <v>296</v>
      </c>
      <c r="K16" s="294"/>
    </row>
    <row r="17" spans="1:11" s="298" customFormat="1" x14ac:dyDescent="0.2">
      <c r="A17" s="289">
        <v>14</v>
      </c>
      <c r="B17" s="294"/>
      <c r="C17" s="296"/>
      <c r="D17" s="288"/>
      <c r="E17" s="288"/>
      <c r="F17" s="288"/>
      <c r="G17" s="292">
        <f t="shared" si="0"/>
        <v>0</v>
      </c>
      <c r="H17" s="288">
        <f t="shared" si="1"/>
        <v>125070</v>
      </c>
      <c r="I17" s="297"/>
      <c r="J17" s="297"/>
      <c r="K17" s="294"/>
    </row>
    <row r="18" spans="1:11" x14ac:dyDescent="0.5">
      <c r="A18" s="289">
        <v>15</v>
      </c>
      <c r="B18" s="290"/>
      <c r="C18" s="299"/>
      <c r="D18" s="291"/>
      <c r="E18" s="291"/>
      <c r="F18" s="291"/>
      <c r="G18" s="292">
        <f t="shared" si="0"/>
        <v>0</v>
      </c>
      <c r="H18" s="288">
        <f t="shared" si="1"/>
        <v>125070</v>
      </c>
      <c r="I18" s="293"/>
      <c r="J18" s="293"/>
      <c r="K18" s="290"/>
    </row>
    <row r="19" spans="1:11" s="298" customFormat="1" x14ac:dyDescent="0.2">
      <c r="A19" s="289">
        <v>16</v>
      </c>
      <c r="B19" s="294"/>
      <c r="C19" s="296"/>
      <c r="D19" s="288"/>
      <c r="E19" s="288"/>
      <c r="F19" s="288"/>
      <c r="G19" s="292">
        <f t="shared" si="0"/>
        <v>0</v>
      </c>
      <c r="H19" s="288">
        <f t="shared" si="1"/>
        <v>125070</v>
      </c>
      <c r="I19" s="300"/>
      <c r="J19" s="297"/>
      <c r="K19" s="294"/>
    </row>
    <row r="20" spans="1:11" x14ac:dyDescent="0.5">
      <c r="A20" s="289"/>
      <c r="B20" s="290"/>
      <c r="C20" s="290"/>
      <c r="D20" s="291"/>
      <c r="E20" s="291"/>
      <c r="F20" s="291"/>
      <c r="G20" s="292">
        <f t="shared" si="0"/>
        <v>0</v>
      </c>
      <c r="H20" s="288">
        <f t="shared" si="1"/>
        <v>125070</v>
      </c>
      <c r="I20" s="301"/>
      <c r="J20" s="293"/>
      <c r="K20" s="290"/>
    </row>
    <row r="21" spans="1:11" x14ac:dyDescent="0.5">
      <c r="A21" s="338"/>
      <c r="B21" s="339"/>
      <c r="C21" s="340"/>
      <c r="D21" s="302"/>
      <c r="E21" s="302"/>
      <c r="F21" s="302"/>
      <c r="G21" s="292">
        <f t="shared" si="0"/>
        <v>0</v>
      </c>
      <c r="H21" s="288">
        <f t="shared" si="1"/>
        <v>125070</v>
      </c>
      <c r="I21" s="290"/>
      <c r="J21" s="290"/>
      <c r="K21" s="290"/>
    </row>
  </sheetData>
  <mergeCells count="3">
    <mergeCell ref="A1:H1"/>
    <mergeCell ref="A3:C3"/>
    <mergeCell ref="A21:C21"/>
  </mergeCells>
  <phoneticPr fontId="2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BE68-B826-4C77-AFAE-04FE8F6D30D4}">
  <sheetPr>
    <tabColor theme="8" tint="0.39997558519241921"/>
  </sheetPr>
  <dimension ref="A1:T43"/>
  <sheetViews>
    <sheetView zoomScale="80" zoomScaleNormal="80" workbookViewId="0">
      <selection activeCell="F4" sqref="F4"/>
    </sheetView>
  </sheetViews>
  <sheetFormatPr defaultColWidth="9" defaultRowHeight="21" x14ac:dyDescent="0.2"/>
  <cols>
    <col min="1" max="1" width="6.25" style="25" customWidth="1"/>
    <col min="2" max="2" width="43.125" style="25" customWidth="1"/>
    <col min="3" max="19" width="15.625" style="29" customWidth="1"/>
    <col min="20" max="20" width="38.75" style="25" customWidth="1"/>
    <col min="21" max="16384" width="9" style="25"/>
  </cols>
  <sheetData>
    <row r="1" spans="1:20" s="22" customFormat="1" ht="45" customHeight="1" x14ac:dyDescent="0.2">
      <c r="A1" s="20" t="s">
        <v>0</v>
      </c>
      <c r="B1" s="20" t="s">
        <v>1</v>
      </c>
      <c r="C1" s="21" t="s">
        <v>3</v>
      </c>
      <c r="D1" s="21" t="s">
        <v>65</v>
      </c>
      <c r="E1" s="21" t="s">
        <v>67</v>
      </c>
      <c r="F1" s="21" t="s">
        <v>150</v>
      </c>
      <c r="G1" s="165">
        <v>25112</v>
      </c>
      <c r="H1" s="165">
        <v>25143</v>
      </c>
      <c r="I1" s="165">
        <v>25173</v>
      </c>
      <c r="J1" s="165">
        <v>25204</v>
      </c>
      <c r="K1" s="165">
        <v>25235</v>
      </c>
      <c r="L1" s="165">
        <v>25263</v>
      </c>
      <c r="M1" s="165">
        <v>25294</v>
      </c>
      <c r="N1" s="165">
        <v>25324</v>
      </c>
      <c r="O1" s="165">
        <v>25355</v>
      </c>
      <c r="P1" s="165">
        <v>25385</v>
      </c>
      <c r="Q1" s="165">
        <v>25416</v>
      </c>
      <c r="R1" s="165">
        <v>25447</v>
      </c>
      <c r="S1" s="21" t="s">
        <v>66</v>
      </c>
    </row>
    <row r="2" spans="1:20" x14ac:dyDescent="0.2">
      <c r="A2" s="23">
        <v>1</v>
      </c>
      <c r="B2" s="186" t="s">
        <v>8</v>
      </c>
      <c r="C2" s="24">
        <v>30000</v>
      </c>
      <c r="D2" s="24"/>
      <c r="E2" s="24"/>
      <c r="F2" s="24">
        <f>C2-D2+E2</f>
        <v>30000</v>
      </c>
      <c r="G2" s="24"/>
      <c r="H2" s="24"/>
      <c r="I2" s="24"/>
      <c r="J2" s="24">
        <v>2800</v>
      </c>
      <c r="K2" s="24"/>
      <c r="L2" s="24"/>
      <c r="M2" s="24"/>
      <c r="N2" s="24"/>
      <c r="O2" s="24"/>
      <c r="P2" s="24"/>
      <c r="Q2" s="24"/>
      <c r="R2" s="24"/>
      <c r="S2" s="24">
        <f>F2-G2-H2-I2-J2-K2-L2-M2-N2</f>
        <v>27200</v>
      </c>
    </row>
    <row r="3" spans="1:20" x14ac:dyDescent="0.2">
      <c r="A3" s="23">
        <v>2</v>
      </c>
      <c r="B3" s="26" t="s">
        <v>10</v>
      </c>
      <c r="C3" s="24">
        <v>0</v>
      </c>
      <c r="D3" s="24"/>
      <c r="E3" s="24"/>
      <c r="F3" s="24">
        <f t="shared" ref="F3:F28" si="0">C3-D3+E3</f>
        <v>0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>
        <f t="shared" ref="S3:S28" si="1">F3-G3-H3-I3-J3-K3-L3-M3-N3</f>
        <v>0</v>
      </c>
    </row>
    <row r="4" spans="1:20" x14ac:dyDescent="0.2">
      <c r="A4" s="23">
        <v>3</v>
      </c>
      <c r="B4" s="26" t="s">
        <v>15</v>
      </c>
      <c r="C4" s="24">
        <v>90000</v>
      </c>
      <c r="D4" s="24"/>
      <c r="E4" s="24"/>
      <c r="F4" s="24">
        <f t="shared" si="0"/>
        <v>90000</v>
      </c>
      <c r="G4" s="24"/>
      <c r="H4" s="24">
        <v>8500</v>
      </c>
      <c r="I4" s="24"/>
      <c r="J4" s="24">
        <v>3000</v>
      </c>
      <c r="K4" s="24">
        <v>1000</v>
      </c>
      <c r="L4" s="24">
        <v>21500</v>
      </c>
      <c r="M4" s="24">
        <v>10000</v>
      </c>
      <c r="N4" s="24">
        <v>3000</v>
      </c>
      <c r="O4" s="24"/>
      <c r="P4" s="24"/>
      <c r="Q4" s="24"/>
      <c r="R4" s="24"/>
      <c r="S4" s="24">
        <f t="shared" si="1"/>
        <v>43000</v>
      </c>
    </row>
    <row r="5" spans="1:20" x14ac:dyDescent="0.2">
      <c r="A5" s="23">
        <v>4</v>
      </c>
      <c r="B5" s="26" t="s">
        <v>16</v>
      </c>
      <c r="C5" s="24">
        <v>50000</v>
      </c>
      <c r="D5" s="24">
        <v>50000</v>
      </c>
      <c r="E5" s="24"/>
      <c r="F5" s="24">
        <f t="shared" si="0"/>
        <v>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>
        <f t="shared" si="1"/>
        <v>0</v>
      </c>
    </row>
    <row r="6" spans="1:20" x14ac:dyDescent="0.2">
      <c r="A6" s="23">
        <v>5</v>
      </c>
      <c r="B6" s="26" t="s">
        <v>21</v>
      </c>
      <c r="C6" s="24">
        <v>120000</v>
      </c>
      <c r="D6" s="24"/>
      <c r="E6" s="24">
        <v>50499.23</v>
      </c>
      <c r="F6" s="24">
        <f t="shared" si="0"/>
        <v>170499.23</v>
      </c>
      <c r="G6" s="24"/>
      <c r="H6" s="24"/>
      <c r="I6" s="24"/>
      <c r="J6" s="24"/>
      <c r="K6" s="24"/>
      <c r="L6" s="205">
        <v>57551.75</v>
      </c>
      <c r="M6" s="205"/>
      <c r="N6" s="205"/>
      <c r="O6" s="205"/>
      <c r="P6" s="205"/>
      <c r="Q6" s="205"/>
      <c r="R6" s="205"/>
      <c r="S6" s="24">
        <f t="shared" si="1"/>
        <v>112947.48000000001</v>
      </c>
      <c r="T6" s="285" t="s">
        <v>267</v>
      </c>
    </row>
    <row r="7" spans="1:20" ht="20.25" customHeight="1" x14ac:dyDescent="0.2">
      <c r="A7" s="23">
        <v>6</v>
      </c>
      <c r="B7" s="26" t="s">
        <v>62</v>
      </c>
      <c r="C7" s="24"/>
      <c r="D7" s="24"/>
      <c r="E7" s="24">
        <v>44026</v>
      </c>
      <c r="F7" s="24">
        <f t="shared" si="0"/>
        <v>44026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>
        <f t="shared" si="1"/>
        <v>44026</v>
      </c>
      <c r="T7" s="285" t="s">
        <v>268</v>
      </c>
    </row>
    <row r="8" spans="1:20" ht="18.75" customHeight="1" x14ac:dyDescent="0.2">
      <c r="A8" s="23">
        <v>7</v>
      </c>
      <c r="B8" s="26" t="s">
        <v>17</v>
      </c>
      <c r="C8" s="24">
        <v>74026</v>
      </c>
      <c r="D8" s="24">
        <v>74026</v>
      </c>
      <c r="E8" s="24"/>
      <c r="F8" s="24">
        <f t="shared" si="0"/>
        <v>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>
        <f t="shared" si="1"/>
        <v>0</v>
      </c>
    </row>
    <row r="9" spans="1:20" x14ac:dyDescent="0.2">
      <c r="A9" s="23">
        <v>8</v>
      </c>
      <c r="B9" s="26" t="s">
        <v>18</v>
      </c>
      <c r="C9" s="24">
        <v>5000</v>
      </c>
      <c r="D9" s="24"/>
      <c r="E9" s="24"/>
      <c r="F9" s="24">
        <f t="shared" si="0"/>
        <v>5000</v>
      </c>
      <c r="G9" s="24"/>
      <c r="H9" s="24"/>
      <c r="I9" s="24"/>
      <c r="J9" s="24"/>
      <c r="K9" s="24"/>
      <c r="L9" s="24"/>
      <c r="M9" s="24"/>
      <c r="N9" s="24">
        <v>5000</v>
      </c>
      <c r="O9" s="24"/>
      <c r="P9" s="24"/>
      <c r="Q9" s="24"/>
      <c r="R9" s="24"/>
      <c r="S9" s="24">
        <f t="shared" si="1"/>
        <v>0</v>
      </c>
    </row>
    <row r="10" spans="1:20" x14ac:dyDescent="0.2">
      <c r="A10" s="23">
        <v>9</v>
      </c>
      <c r="B10" s="26" t="s">
        <v>22</v>
      </c>
      <c r="C10" s="24">
        <v>60000</v>
      </c>
      <c r="D10" s="24">
        <v>10000</v>
      </c>
      <c r="E10" s="24"/>
      <c r="F10" s="24">
        <f t="shared" si="0"/>
        <v>50000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>
        <f t="shared" si="1"/>
        <v>50000</v>
      </c>
    </row>
    <row r="11" spans="1:20" x14ac:dyDescent="0.2">
      <c r="A11" s="23">
        <v>10</v>
      </c>
      <c r="B11" s="26" t="s">
        <v>25</v>
      </c>
      <c r="C11" s="24">
        <v>1000</v>
      </c>
      <c r="D11" s="24"/>
      <c r="E11" s="24"/>
      <c r="F11" s="24">
        <f t="shared" si="0"/>
        <v>1000</v>
      </c>
      <c r="G11" s="24"/>
      <c r="H11" s="24"/>
      <c r="I11" s="24"/>
      <c r="J11" s="24"/>
      <c r="K11" s="24"/>
      <c r="L11" s="24">
        <v>1000</v>
      </c>
      <c r="M11" s="24"/>
      <c r="N11" s="24"/>
      <c r="O11" s="24"/>
      <c r="P11" s="24"/>
      <c r="Q11" s="24"/>
      <c r="R11" s="24"/>
      <c r="S11" s="24">
        <f t="shared" si="1"/>
        <v>0</v>
      </c>
    </row>
    <row r="12" spans="1:20" x14ac:dyDescent="0.2">
      <c r="A12" s="23">
        <v>11</v>
      </c>
      <c r="B12" s="26" t="s">
        <v>26</v>
      </c>
      <c r="C12" s="24">
        <v>20000</v>
      </c>
      <c r="D12" s="24">
        <v>20000</v>
      </c>
      <c r="E12" s="24">
        <v>10000</v>
      </c>
      <c r="F12" s="24">
        <f t="shared" si="0"/>
        <v>10000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>
        <f t="shared" si="1"/>
        <v>10000</v>
      </c>
    </row>
    <row r="13" spans="1:20" x14ac:dyDescent="0.2">
      <c r="A13" s="23">
        <v>12</v>
      </c>
      <c r="B13" s="26" t="s">
        <v>105</v>
      </c>
      <c r="C13" s="24"/>
      <c r="D13" s="24">
        <v>40000</v>
      </c>
      <c r="E13" s="24">
        <v>40000</v>
      </c>
      <c r="F13" s="24">
        <f t="shared" si="0"/>
        <v>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>
        <f t="shared" si="1"/>
        <v>0</v>
      </c>
    </row>
    <row r="14" spans="1:20" ht="60.75" customHeight="1" x14ac:dyDescent="0.2">
      <c r="A14" s="23">
        <v>13</v>
      </c>
      <c r="B14" s="283" t="s">
        <v>41</v>
      </c>
      <c r="C14" s="284">
        <v>10000</v>
      </c>
      <c r="D14" s="284"/>
      <c r="E14" s="284"/>
      <c r="F14" s="284">
        <f t="shared" si="0"/>
        <v>10000</v>
      </c>
      <c r="G14" s="284"/>
      <c r="H14" s="284"/>
      <c r="I14" s="284"/>
      <c r="J14" s="284"/>
      <c r="K14" s="284"/>
      <c r="L14" s="284"/>
      <c r="M14" s="284"/>
      <c r="N14" s="284">
        <v>10000</v>
      </c>
      <c r="O14" s="284"/>
      <c r="P14" s="284"/>
      <c r="Q14" s="284"/>
      <c r="R14" s="284"/>
      <c r="S14" s="284">
        <f t="shared" si="1"/>
        <v>0</v>
      </c>
      <c r="T14" s="25" t="s">
        <v>159</v>
      </c>
    </row>
    <row r="15" spans="1:20" x14ac:dyDescent="0.2">
      <c r="A15" s="23">
        <v>14</v>
      </c>
      <c r="B15" s="26" t="s">
        <v>151</v>
      </c>
      <c r="C15" s="24">
        <v>10000</v>
      </c>
      <c r="D15" s="24"/>
      <c r="E15" s="24"/>
      <c r="F15" s="24">
        <f t="shared" si="0"/>
        <v>10000</v>
      </c>
      <c r="G15" s="24"/>
      <c r="H15" s="24"/>
      <c r="I15" s="24"/>
      <c r="J15" s="24"/>
      <c r="K15" s="24"/>
      <c r="L15" s="24">
        <v>10000</v>
      </c>
      <c r="M15" s="24"/>
      <c r="N15" s="24"/>
      <c r="O15" s="24"/>
      <c r="P15" s="24"/>
      <c r="Q15" s="24"/>
      <c r="R15" s="24"/>
      <c r="S15" s="24">
        <f t="shared" si="1"/>
        <v>0</v>
      </c>
    </row>
    <row r="16" spans="1:20" ht="63" x14ac:dyDescent="0.2">
      <c r="A16" s="23">
        <v>15</v>
      </c>
      <c r="B16" s="26" t="s">
        <v>30</v>
      </c>
      <c r="C16" s="24">
        <v>15000</v>
      </c>
      <c r="D16" s="24"/>
      <c r="E16" s="24"/>
      <c r="F16" s="24">
        <f t="shared" si="0"/>
        <v>15000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>
        <f t="shared" si="1"/>
        <v>15000</v>
      </c>
    </row>
    <row r="17" spans="1:20" x14ac:dyDescent="0.2">
      <c r="A17" s="23">
        <v>16</v>
      </c>
      <c r="B17" s="26" t="s">
        <v>34</v>
      </c>
      <c r="C17" s="24">
        <v>20000</v>
      </c>
      <c r="D17" s="24"/>
      <c r="E17" s="24"/>
      <c r="F17" s="24">
        <f t="shared" si="0"/>
        <v>20000</v>
      </c>
      <c r="G17" s="24"/>
      <c r="H17" s="24"/>
      <c r="I17" s="24"/>
      <c r="J17" s="24">
        <v>20000</v>
      </c>
      <c r="K17" s="24"/>
      <c r="L17" s="24"/>
      <c r="M17" s="24"/>
      <c r="N17" s="24"/>
      <c r="O17" s="24"/>
      <c r="P17" s="24"/>
      <c r="Q17" s="24"/>
      <c r="R17" s="24"/>
      <c r="S17" s="24">
        <f t="shared" si="1"/>
        <v>0</v>
      </c>
    </row>
    <row r="18" spans="1:20" x14ac:dyDescent="0.2">
      <c r="A18" s="23">
        <v>17</v>
      </c>
      <c r="B18" s="26" t="s">
        <v>36</v>
      </c>
      <c r="C18" s="24">
        <v>15000</v>
      </c>
      <c r="D18" s="24"/>
      <c r="E18" s="24"/>
      <c r="F18" s="24">
        <f t="shared" si="0"/>
        <v>15000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>
        <f t="shared" si="1"/>
        <v>15000</v>
      </c>
    </row>
    <row r="19" spans="1:20" ht="42" x14ac:dyDescent="0.2">
      <c r="A19" s="23">
        <v>18</v>
      </c>
      <c r="B19" s="26" t="s">
        <v>38</v>
      </c>
      <c r="C19" s="24">
        <v>100000</v>
      </c>
      <c r="D19" s="24">
        <v>14009.23</v>
      </c>
      <c r="E19" s="24"/>
      <c r="F19" s="24">
        <f t="shared" si="0"/>
        <v>85990.77</v>
      </c>
      <c r="G19" s="24">
        <v>20000</v>
      </c>
      <c r="H19" s="24"/>
      <c r="I19" s="24"/>
      <c r="J19" s="24"/>
      <c r="K19" s="24">
        <v>20716.77</v>
      </c>
      <c r="L19" s="24">
        <v>20000</v>
      </c>
      <c r="M19" s="24">
        <v>25274</v>
      </c>
      <c r="N19" s="24"/>
      <c r="O19" s="24"/>
      <c r="P19" s="24"/>
      <c r="Q19" s="24"/>
      <c r="R19" s="24"/>
      <c r="S19" s="24">
        <f t="shared" si="1"/>
        <v>0</v>
      </c>
    </row>
    <row r="20" spans="1:20" x14ac:dyDescent="0.2">
      <c r="A20" s="23">
        <v>19</v>
      </c>
      <c r="B20" s="26" t="s">
        <v>39</v>
      </c>
      <c r="C20" s="24">
        <v>50000</v>
      </c>
      <c r="D20" s="24">
        <v>6490</v>
      </c>
      <c r="E20" s="24"/>
      <c r="F20" s="24">
        <f t="shared" si="0"/>
        <v>43510</v>
      </c>
      <c r="G20" s="24"/>
      <c r="H20" s="24"/>
      <c r="I20" s="24"/>
      <c r="J20" s="24"/>
      <c r="K20" s="24">
        <v>49966</v>
      </c>
      <c r="L20" s="24"/>
      <c r="M20" s="205">
        <v>-6456</v>
      </c>
      <c r="N20" s="24"/>
      <c r="O20" s="24"/>
      <c r="P20" s="24"/>
      <c r="Q20" s="24"/>
      <c r="R20" s="24"/>
      <c r="S20" s="24">
        <f t="shared" si="1"/>
        <v>0</v>
      </c>
    </row>
    <row r="21" spans="1:20" x14ac:dyDescent="0.2">
      <c r="A21" s="23">
        <v>20</v>
      </c>
      <c r="B21" s="26" t="s">
        <v>40</v>
      </c>
      <c r="C21" s="24">
        <v>8000</v>
      </c>
      <c r="D21" s="24"/>
      <c r="E21" s="24"/>
      <c r="F21" s="24">
        <f t="shared" si="0"/>
        <v>8000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>
        <f t="shared" si="1"/>
        <v>8000</v>
      </c>
    </row>
    <row r="22" spans="1:20" ht="42" x14ac:dyDescent="0.2">
      <c r="A22" s="23">
        <v>21</v>
      </c>
      <c r="B22" s="26" t="s">
        <v>42</v>
      </c>
      <c r="C22" s="24">
        <v>30000</v>
      </c>
      <c r="D22" s="24"/>
      <c r="E22" s="24"/>
      <c r="F22" s="24">
        <f t="shared" si="0"/>
        <v>30000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>
        <f t="shared" si="1"/>
        <v>30000</v>
      </c>
    </row>
    <row r="23" spans="1:20" x14ac:dyDescent="0.2">
      <c r="A23" s="23">
        <v>22</v>
      </c>
      <c r="B23" s="27" t="s">
        <v>47</v>
      </c>
      <c r="C23" s="24">
        <v>50000</v>
      </c>
      <c r="D23" s="24">
        <v>50000</v>
      </c>
      <c r="E23" s="24"/>
      <c r="F23" s="24">
        <f t="shared" si="0"/>
        <v>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>
        <f t="shared" si="1"/>
        <v>0</v>
      </c>
    </row>
    <row r="24" spans="1:20" ht="63" x14ac:dyDescent="0.2">
      <c r="A24" s="23">
        <v>23</v>
      </c>
      <c r="B24" s="52" t="s">
        <v>73</v>
      </c>
      <c r="C24" s="53">
        <v>80000</v>
      </c>
      <c r="D24" s="54"/>
      <c r="E24" s="54"/>
      <c r="F24" s="24">
        <f t="shared" si="0"/>
        <v>80000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24">
        <f t="shared" si="1"/>
        <v>80000</v>
      </c>
    </row>
    <row r="25" spans="1:20" x14ac:dyDescent="0.2">
      <c r="A25" s="23">
        <v>24</v>
      </c>
      <c r="B25" s="52" t="s">
        <v>29</v>
      </c>
      <c r="C25" s="53"/>
      <c r="D25" s="54"/>
      <c r="E25" s="54">
        <v>50000</v>
      </c>
      <c r="F25" s="24">
        <f t="shared" si="0"/>
        <v>50000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24">
        <f t="shared" si="1"/>
        <v>50000</v>
      </c>
      <c r="T25" s="285" t="s">
        <v>265</v>
      </c>
    </row>
    <row r="26" spans="1:20" x14ac:dyDescent="0.2">
      <c r="A26" s="23">
        <v>25</v>
      </c>
      <c r="B26" s="52" t="s">
        <v>263</v>
      </c>
      <c r="C26" s="53"/>
      <c r="D26" s="54"/>
      <c r="E26" s="54">
        <v>20000</v>
      </c>
      <c r="F26" s="24">
        <f t="shared" si="0"/>
        <v>20000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24">
        <f t="shared" si="1"/>
        <v>20000</v>
      </c>
      <c r="T26" s="285" t="s">
        <v>264</v>
      </c>
    </row>
    <row r="27" spans="1:20" x14ac:dyDescent="0.2">
      <c r="A27" s="23">
        <v>26</v>
      </c>
      <c r="B27" s="52" t="s">
        <v>147</v>
      </c>
      <c r="C27" s="53"/>
      <c r="D27" s="54"/>
      <c r="E27" s="54">
        <v>50000</v>
      </c>
      <c r="F27" s="24">
        <f t="shared" si="0"/>
        <v>50000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24">
        <f t="shared" si="1"/>
        <v>50000</v>
      </c>
      <c r="T27" s="285" t="s">
        <v>266</v>
      </c>
    </row>
    <row r="28" spans="1:20" x14ac:dyDescent="0.2">
      <c r="A28" s="316" t="s">
        <v>5</v>
      </c>
      <c r="B28" s="316"/>
      <c r="C28" s="18">
        <f>SUM(C2:C24)</f>
        <v>838026</v>
      </c>
      <c r="D28" s="18">
        <f>SUM(D2:D27)</f>
        <v>264525.23</v>
      </c>
      <c r="E28" s="54">
        <f>SUM(E2:E27)</f>
        <v>264525.23</v>
      </c>
      <c r="F28" s="24">
        <f t="shared" si="0"/>
        <v>838026</v>
      </c>
      <c r="G28" s="18">
        <f>SUM(G2:G24)</f>
        <v>20000</v>
      </c>
      <c r="H28" s="18">
        <f t="shared" ref="H28:L28" si="2">SUM(H2:H24)</f>
        <v>8500</v>
      </c>
      <c r="I28" s="18">
        <f t="shared" si="2"/>
        <v>0</v>
      </c>
      <c r="J28" s="18">
        <f t="shared" si="2"/>
        <v>25800</v>
      </c>
      <c r="K28" s="18">
        <f t="shared" si="2"/>
        <v>71682.77</v>
      </c>
      <c r="L28" s="18">
        <f t="shared" si="2"/>
        <v>110051.75</v>
      </c>
      <c r="M28" s="18">
        <f>SUM(M2:M24)</f>
        <v>28818</v>
      </c>
      <c r="N28" s="18">
        <f>SUM(N2:N24)</f>
        <v>18000</v>
      </c>
      <c r="O28" s="18"/>
      <c r="P28" s="18"/>
      <c r="Q28" s="18"/>
      <c r="R28" s="18"/>
      <c r="S28" s="24">
        <f t="shared" si="1"/>
        <v>555173.48</v>
      </c>
    </row>
    <row r="29" spans="1:20" ht="23.25" x14ac:dyDescent="0.35">
      <c r="B29" s="55">
        <v>838026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20" x14ac:dyDescent="0.2"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1:20" x14ac:dyDescent="0.2"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20" x14ac:dyDescent="0.2"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spans="3:19" x14ac:dyDescent="0.2"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3:19" x14ac:dyDescent="0.2"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  <row r="35" spans="3:19" x14ac:dyDescent="0.2"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3:19" x14ac:dyDescent="0.2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spans="3:19" x14ac:dyDescent="0.2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spans="3:19" x14ac:dyDescent="0.2"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3:19" x14ac:dyDescent="0.2"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spans="3:19" x14ac:dyDescent="0.2"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spans="3:19" x14ac:dyDescent="0.2"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spans="3:19" x14ac:dyDescent="0.2"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3:19" x14ac:dyDescent="0.2"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</sheetData>
  <mergeCells count="1">
    <mergeCell ref="A28:B28"/>
  </mergeCells>
  <phoneticPr fontId="2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23CE-CD97-4C1D-A56C-A34DD66A7507}">
  <dimension ref="A1:K21"/>
  <sheetViews>
    <sheetView workbookViewId="0">
      <selection activeCell="H4" sqref="H4"/>
    </sheetView>
  </sheetViews>
  <sheetFormatPr defaultRowHeight="23.25" x14ac:dyDescent="0.5"/>
  <cols>
    <col min="1" max="1" width="9" style="313"/>
    <col min="2" max="2" width="37.25" style="295" customWidth="1"/>
    <col min="3" max="3" width="49.25" style="295" customWidth="1"/>
    <col min="4" max="5" width="20" style="314" customWidth="1"/>
    <col min="6" max="6" width="20" style="314" hidden="1" customWidth="1"/>
    <col min="7" max="7" width="20" style="315" customWidth="1"/>
    <col min="8" max="8" width="18" style="314" customWidth="1"/>
    <col min="9" max="9" width="16.125" style="295" customWidth="1"/>
    <col min="10" max="10" width="19.75" style="295" customWidth="1"/>
    <col min="11" max="11" width="18.375" style="295" customWidth="1"/>
    <col min="12" max="12" width="16.75" style="295" customWidth="1"/>
    <col min="13" max="16384" width="9" style="295"/>
  </cols>
  <sheetData>
    <row r="1" spans="1:11" x14ac:dyDescent="0.5">
      <c r="A1" s="334" t="s">
        <v>171</v>
      </c>
      <c r="B1" s="334"/>
      <c r="C1" s="334"/>
      <c r="D1" s="334"/>
      <c r="E1" s="334"/>
      <c r="F1" s="334"/>
      <c r="G1" s="334"/>
      <c r="H1" s="334"/>
    </row>
    <row r="2" spans="1:11" x14ac:dyDescent="0.5">
      <c r="A2" s="303" t="s">
        <v>0</v>
      </c>
      <c r="B2" s="303" t="s">
        <v>172</v>
      </c>
      <c r="C2" s="303" t="s">
        <v>173</v>
      </c>
      <c r="D2" s="304" t="s">
        <v>174</v>
      </c>
      <c r="E2" s="304" t="s">
        <v>175</v>
      </c>
      <c r="F2" s="304" t="s">
        <v>176</v>
      </c>
      <c r="G2" s="305" t="s">
        <v>177</v>
      </c>
      <c r="H2" s="304" t="s">
        <v>178</v>
      </c>
      <c r="I2" s="290" t="s">
        <v>179</v>
      </c>
      <c r="J2" s="290" t="s">
        <v>180</v>
      </c>
      <c r="K2" s="290" t="s">
        <v>180</v>
      </c>
    </row>
    <row r="3" spans="1:11" x14ac:dyDescent="0.5">
      <c r="A3" s="335" t="s">
        <v>181</v>
      </c>
      <c r="B3" s="336"/>
      <c r="C3" s="337"/>
      <c r="D3" s="304"/>
      <c r="E3" s="304"/>
      <c r="F3" s="304"/>
      <c r="G3" s="305"/>
      <c r="H3" s="304">
        <v>90000</v>
      </c>
      <c r="I3" s="290"/>
      <c r="J3" s="290"/>
      <c r="K3" s="290"/>
    </row>
    <row r="4" spans="1:11" s="298" customFormat="1" x14ac:dyDescent="0.2">
      <c r="A4" s="289">
        <v>1</v>
      </c>
      <c r="B4" s="294"/>
      <c r="C4" s="296"/>
      <c r="D4" s="288"/>
      <c r="E4" s="288"/>
      <c r="F4" s="288"/>
      <c r="G4" s="292"/>
      <c r="H4" s="288">
        <f>H3-G4</f>
        <v>90000</v>
      </c>
      <c r="I4" s="306"/>
      <c r="J4" s="307"/>
      <c r="K4" s="294"/>
    </row>
    <row r="5" spans="1:11" s="298" customFormat="1" x14ac:dyDescent="0.2">
      <c r="A5" s="289">
        <v>2</v>
      </c>
      <c r="B5" s="294"/>
      <c r="C5" s="296"/>
      <c r="D5" s="288"/>
      <c r="E5" s="288"/>
      <c r="F5" s="288"/>
      <c r="G5" s="292"/>
      <c r="H5" s="288">
        <f t="shared" ref="H5:H21" si="0">H4-G5</f>
        <v>90000</v>
      </c>
      <c r="I5" s="308"/>
      <c r="J5" s="307"/>
      <c r="K5" s="294"/>
    </row>
    <row r="6" spans="1:11" s="298" customFormat="1" x14ac:dyDescent="0.5">
      <c r="A6" s="289">
        <v>3</v>
      </c>
      <c r="B6" s="309"/>
      <c r="C6" s="296"/>
      <c r="D6" s="288"/>
      <c r="E6" s="288"/>
      <c r="F6" s="288"/>
      <c r="G6" s="292"/>
      <c r="H6" s="288">
        <f t="shared" si="0"/>
        <v>90000</v>
      </c>
      <c r="I6" s="306"/>
      <c r="J6" s="310"/>
      <c r="K6" s="294"/>
    </row>
    <row r="7" spans="1:11" s="298" customFormat="1" x14ac:dyDescent="0.2">
      <c r="A7" s="289">
        <v>4</v>
      </c>
      <c r="B7" s="294"/>
      <c r="C7" s="296"/>
      <c r="D7" s="288"/>
      <c r="E7" s="288"/>
      <c r="F7" s="288"/>
      <c r="G7" s="292"/>
      <c r="H7" s="288">
        <f t="shared" si="0"/>
        <v>90000</v>
      </c>
      <c r="I7" s="311"/>
      <c r="J7" s="311"/>
      <c r="K7" s="294"/>
    </row>
    <row r="8" spans="1:11" s="298" customFormat="1" x14ac:dyDescent="0.2">
      <c r="A8" s="289">
        <v>5</v>
      </c>
      <c r="B8" s="294"/>
      <c r="C8" s="296"/>
      <c r="D8" s="288"/>
      <c r="E8" s="288"/>
      <c r="F8" s="288"/>
      <c r="G8" s="292"/>
      <c r="H8" s="288">
        <f t="shared" si="0"/>
        <v>90000</v>
      </c>
      <c r="I8" s="297"/>
      <c r="J8" s="297"/>
      <c r="K8" s="297"/>
    </row>
    <row r="9" spans="1:11" s="298" customFormat="1" x14ac:dyDescent="0.5">
      <c r="A9" s="289">
        <v>6</v>
      </c>
      <c r="B9" s="312"/>
      <c r="C9" s="296"/>
      <c r="D9" s="288"/>
      <c r="E9" s="288"/>
      <c r="F9" s="288"/>
      <c r="G9" s="292"/>
      <c r="H9" s="288">
        <f t="shared" si="0"/>
        <v>90000</v>
      </c>
      <c r="I9" s="297"/>
      <c r="J9" s="307"/>
      <c r="K9" s="297"/>
    </row>
    <row r="10" spans="1:11" s="298" customFormat="1" x14ac:dyDescent="0.5">
      <c r="A10" s="289">
        <v>7</v>
      </c>
      <c r="B10" s="309"/>
      <c r="C10" s="296"/>
      <c r="D10" s="288"/>
      <c r="E10" s="288"/>
      <c r="F10" s="288"/>
      <c r="G10" s="292"/>
      <c r="H10" s="288">
        <f t="shared" si="0"/>
        <v>90000</v>
      </c>
      <c r="I10" s="297"/>
      <c r="J10" s="307"/>
      <c r="K10" s="297"/>
    </row>
    <row r="11" spans="1:11" s="298" customFormat="1" x14ac:dyDescent="0.5">
      <c r="A11" s="289">
        <v>8</v>
      </c>
      <c r="B11" s="294"/>
      <c r="C11" s="296"/>
      <c r="D11" s="288"/>
      <c r="E11" s="288"/>
      <c r="F11" s="288"/>
      <c r="G11" s="292"/>
      <c r="H11" s="288">
        <f t="shared" si="0"/>
        <v>90000</v>
      </c>
      <c r="I11" s="309"/>
      <c r="J11" s="307"/>
      <c r="K11" s="294"/>
    </row>
    <row r="12" spans="1:11" s="298" customFormat="1" x14ac:dyDescent="0.2">
      <c r="A12" s="289">
        <v>9</v>
      </c>
      <c r="B12" s="294"/>
      <c r="C12" s="296"/>
      <c r="D12" s="288"/>
      <c r="E12" s="288"/>
      <c r="F12" s="288"/>
      <c r="G12" s="292"/>
      <c r="H12" s="288">
        <f t="shared" si="0"/>
        <v>90000</v>
      </c>
      <c r="I12" s="297"/>
      <c r="J12" s="307"/>
      <c r="K12" s="294"/>
    </row>
    <row r="13" spans="1:11" s="298" customFormat="1" x14ac:dyDescent="0.2">
      <c r="A13" s="289">
        <v>10</v>
      </c>
      <c r="B13" s="294"/>
      <c r="C13" s="296"/>
      <c r="D13" s="288"/>
      <c r="E13" s="288"/>
      <c r="F13" s="288"/>
      <c r="G13" s="292"/>
      <c r="H13" s="288">
        <f t="shared" si="0"/>
        <v>90000</v>
      </c>
      <c r="I13" s="297"/>
      <c r="J13" s="297"/>
      <c r="K13" s="294"/>
    </row>
    <row r="14" spans="1:11" s="298" customFormat="1" x14ac:dyDescent="0.2">
      <c r="A14" s="289">
        <v>11</v>
      </c>
      <c r="B14" s="294"/>
      <c r="C14" s="296"/>
      <c r="D14" s="288"/>
      <c r="E14" s="288"/>
      <c r="F14" s="288"/>
      <c r="G14" s="292"/>
      <c r="H14" s="288">
        <f t="shared" si="0"/>
        <v>90000</v>
      </c>
      <c r="I14" s="297"/>
      <c r="J14" s="307"/>
      <c r="K14" s="294"/>
    </row>
    <row r="15" spans="1:11" s="298" customFormat="1" x14ac:dyDescent="0.2">
      <c r="A15" s="289">
        <v>12</v>
      </c>
      <c r="B15" s="294"/>
      <c r="C15" s="296"/>
      <c r="D15" s="288"/>
      <c r="E15" s="288"/>
      <c r="F15" s="288"/>
      <c r="G15" s="292"/>
      <c r="H15" s="288">
        <f t="shared" si="0"/>
        <v>90000</v>
      </c>
      <c r="I15" s="297"/>
      <c r="J15" s="297"/>
      <c r="K15" s="294"/>
    </row>
    <row r="16" spans="1:11" x14ac:dyDescent="0.5">
      <c r="A16" s="289">
        <v>13</v>
      </c>
      <c r="B16" s="290"/>
      <c r="C16" s="290"/>
      <c r="D16" s="291"/>
      <c r="E16" s="291"/>
      <c r="F16" s="291"/>
      <c r="G16" s="292"/>
      <c r="H16" s="288">
        <f t="shared" si="0"/>
        <v>90000</v>
      </c>
      <c r="I16" s="293"/>
      <c r="J16" s="293"/>
      <c r="K16" s="294"/>
    </row>
    <row r="17" spans="1:11" s="298" customFormat="1" x14ac:dyDescent="0.2">
      <c r="A17" s="289">
        <v>14</v>
      </c>
      <c r="B17" s="294"/>
      <c r="C17" s="296"/>
      <c r="D17" s="288"/>
      <c r="E17" s="288"/>
      <c r="F17" s="288"/>
      <c r="G17" s="292"/>
      <c r="H17" s="288">
        <f t="shared" si="0"/>
        <v>90000</v>
      </c>
      <c r="I17" s="297"/>
      <c r="J17" s="297"/>
      <c r="K17" s="294"/>
    </row>
    <row r="18" spans="1:11" x14ac:dyDescent="0.5">
      <c r="A18" s="289">
        <v>15</v>
      </c>
      <c r="B18" s="290"/>
      <c r="C18" s="299"/>
      <c r="D18" s="291"/>
      <c r="E18" s="291"/>
      <c r="F18" s="291"/>
      <c r="G18" s="292">
        <f t="shared" ref="G5:G21" si="1">D18+E18+F18</f>
        <v>0</v>
      </c>
      <c r="H18" s="288">
        <f t="shared" si="0"/>
        <v>90000</v>
      </c>
      <c r="I18" s="293"/>
      <c r="J18" s="293"/>
      <c r="K18" s="290"/>
    </row>
    <row r="19" spans="1:11" s="298" customFormat="1" x14ac:dyDescent="0.2">
      <c r="A19" s="289">
        <v>16</v>
      </c>
      <c r="B19" s="294"/>
      <c r="C19" s="296"/>
      <c r="D19" s="288"/>
      <c r="E19" s="288"/>
      <c r="F19" s="288"/>
      <c r="G19" s="292">
        <f t="shared" si="1"/>
        <v>0</v>
      </c>
      <c r="H19" s="288">
        <f t="shared" si="0"/>
        <v>90000</v>
      </c>
      <c r="I19" s="300"/>
      <c r="J19" s="297"/>
      <c r="K19" s="294"/>
    </row>
    <row r="20" spans="1:11" x14ac:dyDescent="0.5">
      <c r="A20" s="289"/>
      <c r="B20" s="290"/>
      <c r="C20" s="290"/>
      <c r="D20" s="291"/>
      <c r="E20" s="291"/>
      <c r="F20" s="291"/>
      <c r="G20" s="292">
        <f t="shared" si="1"/>
        <v>0</v>
      </c>
      <c r="H20" s="288">
        <f t="shared" si="0"/>
        <v>90000</v>
      </c>
      <c r="I20" s="301"/>
      <c r="J20" s="293"/>
      <c r="K20" s="290"/>
    </row>
    <row r="21" spans="1:11" x14ac:dyDescent="0.5">
      <c r="A21" s="338"/>
      <c r="B21" s="339"/>
      <c r="C21" s="340"/>
      <c r="D21" s="302"/>
      <c r="E21" s="302"/>
      <c r="F21" s="302"/>
      <c r="G21" s="292">
        <f t="shared" si="1"/>
        <v>0</v>
      </c>
      <c r="H21" s="288">
        <f t="shared" si="0"/>
        <v>90000</v>
      </c>
      <c r="I21" s="290"/>
      <c r="J21" s="290"/>
      <c r="K21" s="290"/>
    </row>
  </sheetData>
  <mergeCells count="3">
    <mergeCell ref="A1:H1"/>
    <mergeCell ref="A3:C3"/>
    <mergeCell ref="A21:C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EDAF-5205-458A-8657-0AF15A427572}">
  <sheetPr>
    <tabColor theme="3" tint="0.249977111117893"/>
  </sheetPr>
  <dimension ref="A1:V21"/>
  <sheetViews>
    <sheetView zoomScale="70" zoomScaleNormal="70" workbookViewId="0">
      <selection activeCell="A5" sqref="A5:XFD5"/>
    </sheetView>
  </sheetViews>
  <sheetFormatPr defaultRowHeight="27.75" x14ac:dyDescent="0.65"/>
  <cols>
    <col min="1" max="1" width="6.25" style="60" customWidth="1"/>
    <col min="2" max="2" width="54.5" style="60" customWidth="1"/>
    <col min="3" max="4" width="15.625" style="60" customWidth="1"/>
    <col min="5" max="5" width="17.5" style="60" customWidth="1"/>
    <col min="6" max="6" width="19.75" style="60" customWidth="1"/>
    <col min="7" max="19" width="15.625" style="60" customWidth="1"/>
    <col min="20" max="20" width="44" style="60" customWidth="1"/>
    <col min="21" max="21" width="28.625" style="60" customWidth="1"/>
    <col min="22" max="22" width="26.75" style="60" customWidth="1"/>
    <col min="23" max="16384" width="9" style="60"/>
  </cols>
  <sheetData>
    <row r="1" spans="1:22" x14ac:dyDescent="0.65">
      <c r="A1" s="208" t="s">
        <v>0</v>
      </c>
      <c r="B1" s="208" t="s">
        <v>1</v>
      </c>
      <c r="C1" s="209" t="s">
        <v>97</v>
      </c>
      <c r="D1" s="210" t="s">
        <v>65</v>
      </c>
      <c r="E1" s="210" t="s">
        <v>67</v>
      </c>
      <c r="F1" s="210" t="s">
        <v>66</v>
      </c>
      <c r="G1" s="211">
        <v>25112</v>
      </c>
      <c r="H1" s="211">
        <v>25143</v>
      </c>
      <c r="I1" s="211">
        <v>25173</v>
      </c>
      <c r="J1" s="211">
        <v>25204</v>
      </c>
      <c r="K1" s="211">
        <v>25235</v>
      </c>
      <c r="L1" s="211">
        <v>25263</v>
      </c>
      <c r="M1" s="211">
        <v>25294</v>
      </c>
      <c r="N1" s="211">
        <v>25324</v>
      </c>
      <c r="O1" s="211">
        <v>25355</v>
      </c>
      <c r="P1" s="211">
        <v>25385</v>
      </c>
      <c r="Q1" s="211">
        <v>25416</v>
      </c>
      <c r="R1" s="211">
        <v>25447</v>
      </c>
      <c r="S1" s="209" t="s">
        <v>66</v>
      </c>
      <c r="T1" s="212"/>
    </row>
    <row r="2" spans="1:22" x14ac:dyDescent="0.65">
      <c r="A2" s="213">
        <v>1</v>
      </c>
      <c r="B2" s="214" t="s">
        <v>49</v>
      </c>
      <c r="C2" s="215">
        <v>10000</v>
      </c>
      <c r="D2" s="216"/>
      <c r="E2" s="216">
        <v>6710</v>
      </c>
      <c r="F2" s="216">
        <f>C2-D2+E2</f>
        <v>16710</v>
      </c>
      <c r="G2" s="216">
        <v>4000</v>
      </c>
      <c r="H2" s="216"/>
      <c r="I2" s="216"/>
      <c r="J2" s="216"/>
      <c r="K2" s="216"/>
      <c r="L2" s="216"/>
      <c r="M2" s="216"/>
      <c r="N2" s="216">
        <v>7707.5</v>
      </c>
      <c r="O2" s="216"/>
      <c r="P2" s="216"/>
      <c r="Q2" s="216"/>
      <c r="R2" s="216"/>
      <c r="S2" s="217">
        <f>F2-G2-H2-I2-J2-K2-L2-M2-N2-O2-P2-Q2-R2</f>
        <v>5002.5</v>
      </c>
      <c r="T2" s="218" t="s">
        <v>138</v>
      </c>
      <c r="V2" s="219"/>
    </row>
    <row r="3" spans="1:22" s="222" customFormat="1" x14ac:dyDescent="0.65">
      <c r="A3" s="213">
        <v>2</v>
      </c>
      <c r="B3" s="214" t="s">
        <v>10</v>
      </c>
      <c r="C3" s="220">
        <v>5000</v>
      </c>
      <c r="D3" s="221">
        <v>3900</v>
      </c>
      <c r="E3" s="221">
        <v>6160</v>
      </c>
      <c r="F3" s="216">
        <f t="shared" ref="F3:F19" si="0">C3-D3+E3</f>
        <v>7260</v>
      </c>
      <c r="G3" s="221"/>
      <c r="H3" s="221"/>
      <c r="I3" s="221">
        <v>1260</v>
      </c>
      <c r="J3" s="221"/>
      <c r="K3" s="221"/>
      <c r="L3" s="221"/>
      <c r="M3" s="221"/>
      <c r="N3" s="221"/>
      <c r="O3" s="221"/>
      <c r="P3" s="221"/>
      <c r="Q3" s="221"/>
      <c r="R3" s="221"/>
      <c r="S3" s="217">
        <f t="shared" ref="S3:S19" si="1">F3-G3-H3-I3-J3-K3-L3-M3-N3-O3-P3-Q3-R3</f>
        <v>6000</v>
      </c>
      <c r="T3" s="218"/>
    </row>
    <row r="4" spans="1:22" ht="83.25" x14ac:dyDescent="0.65">
      <c r="A4" s="213">
        <v>3</v>
      </c>
      <c r="B4" s="214" t="s">
        <v>15</v>
      </c>
      <c r="C4" s="220">
        <v>232000</v>
      </c>
      <c r="D4" s="221">
        <v>59520</v>
      </c>
      <c r="E4" s="221"/>
      <c r="F4" s="216">
        <f t="shared" si="0"/>
        <v>172480</v>
      </c>
      <c r="G4" s="221">
        <v>2500</v>
      </c>
      <c r="H4" s="221">
        <v>2500</v>
      </c>
      <c r="I4" s="221"/>
      <c r="J4" s="221"/>
      <c r="K4" s="221">
        <v>1500</v>
      </c>
      <c r="L4" s="221">
        <v>1800</v>
      </c>
      <c r="M4" s="221">
        <v>177500</v>
      </c>
      <c r="N4" s="223">
        <v>-13320</v>
      </c>
      <c r="O4" s="223"/>
      <c r="P4" s="223"/>
      <c r="Q4" s="223"/>
      <c r="R4" s="223"/>
      <c r="S4" s="217">
        <f t="shared" si="1"/>
        <v>0</v>
      </c>
      <c r="T4" s="224" t="s">
        <v>98</v>
      </c>
    </row>
    <row r="5" spans="1:22" s="347" customFormat="1" x14ac:dyDescent="0.65">
      <c r="A5" s="344">
        <v>4</v>
      </c>
      <c r="B5" s="345" t="s">
        <v>16</v>
      </c>
      <c r="C5" s="220">
        <v>20000</v>
      </c>
      <c r="D5" s="221">
        <v>34000</v>
      </c>
      <c r="E5" s="221">
        <v>40000</v>
      </c>
      <c r="F5" s="216">
        <f t="shared" si="0"/>
        <v>26000</v>
      </c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>
        <v>7000</v>
      </c>
      <c r="R5" s="221"/>
      <c r="S5" s="217">
        <f t="shared" si="1"/>
        <v>19000</v>
      </c>
      <c r="T5" s="346"/>
      <c r="U5" s="347" t="s">
        <v>306</v>
      </c>
    </row>
    <row r="6" spans="1:22" x14ac:dyDescent="0.65">
      <c r="A6" s="213">
        <v>5</v>
      </c>
      <c r="B6" s="214" t="s">
        <v>26</v>
      </c>
      <c r="C6" s="215">
        <v>25000</v>
      </c>
      <c r="D6" s="216"/>
      <c r="E6" s="216"/>
      <c r="F6" s="216">
        <f t="shared" si="0"/>
        <v>25000</v>
      </c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7">
        <f t="shared" si="1"/>
        <v>25000</v>
      </c>
      <c r="T6" s="224"/>
      <c r="U6" s="225"/>
    </row>
    <row r="7" spans="1:22" s="157" customFormat="1" ht="222" x14ac:dyDescent="0.2">
      <c r="A7" s="240">
        <v>6</v>
      </c>
      <c r="B7" s="226" t="s">
        <v>29</v>
      </c>
      <c r="C7" s="227">
        <v>143000</v>
      </c>
      <c r="D7" s="228"/>
      <c r="E7" s="228">
        <v>762800</v>
      </c>
      <c r="F7" s="241">
        <f t="shared" si="0"/>
        <v>905800</v>
      </c>
      <c r="G7" s="228"/>
      <c r="H7" s="228"/>
      <c r="I7" s="228"/>
      <c r="J7" s="228"/>
      <c r="K7" s="228"/>
      <c r="L7" s="228">
        <v>798000</v>
      </c>
      <c r="M7" s="228"/>
      <c r="N7" s="228"/>
      <c r="O7" s="228"/>
      <c r="P7" s="228"/>
      <c r="Q7" s="228"/>
      <c r="R7" s="228"/>
      <c r="S7" s="217">
        <f t="shared" si="1"/>
        <v>107800</v>
      </c>
      <c r="T7" s="229" t="s">
        <v>99</v>
      </c>
      <c r="U7" s="229" t="s">
        <v>166</v>
      </c>
      <c r="V7" s="238" t="s">
        <v>170</v>
      </c>
    </row>
    <row r="8" spans="1:22" ht="55.5" x14ac:dyDescent="0.65">
      <c r="A8" s="213">
        <v>7</v>
      </c>
      <c r="B8" s="230" t="s">
        <v>100</v>
      </c>
      <c r="C8" s="215">
        <v>50000</v>
      </c>
      <c r="D8" s="216"/>
      <c r="E8" s="216"/>
      <c r="F8" s="216">
        <f t="shared" si="0"/>
        <v>50000</v>
      </c>
      <c r="G8" s="216"/>
      <c r="H8" s="216"/>
      <c r="I8" s="216"/>
      <c r="J8" s="216"/>
      <c r="K8" s="216"/>
      <c r="L8" s="216">
        <v>25000</v>
      </c>
      <c r="M8" s="216"/>
      <c r="N8" s="216">
        <v>25000</v>
      </c>
      <c r="O8" s="216"/>
      <c r="P8" s="216"/>
      <c r="Q8" s="216"/>
      <c r="R8" s="216"/>
      <c r="S8" s="217">
        <f t="shared" si="1"/>
        <v>0</v>
      </c>
      <c r="T8" s="224" t="s">
        <v>101</v>
      </c>
    </row>
    <row r="9" spans="1:22" x14ac:dyDescent="0.65">
      <c r="A9" s="213">
        <v>8</v>
      </c>
      <c r="B9" s="230" t="s">
        <v>158</v>
      </c>
      <c r="C9" s="215"/>
      <c r="D9" s="216">
        <v>10211</v>
      </c>
      <c r="E9" s="216">
        <v>55000</v>
      </c>
      <c r="F9" s="216">
        <f t="shared" si="0"/>
        <v>44789</v>
      </c>
      <c r="G9" s="216"/>
      <c r="H9" s="216"/>
      <c r="I9" s="216"/>
      <c r="J9" s="216"/>
      <c r="K9" s="216"/>
      <c r="L9" s="216"/>
      <c r="M9" s="216"/>
      <c r="N9" s="216">
        <v>55000</v>
      </c>
      <c r="O9" s="216">
        <v>-10211</v>
      </c>
      <c r="P9" s="216"/>
      <c r="Q9" s="216"/>
      <c r="R9" s="216"/>
      <c r="S9" s="217">
        <f t="shared" si="1"/>
        <v>0</v>
      </c>
      <c r="T9" s="224"/>
    </row>
    <row r="10" spans="1:22" x14ac:dyDescent="0.65">
      <c r="A10" s="213">
        <v>9</v>
      </c>
      <c r="B10" s="230" t="s">
        <v>102</v>
      </c>
      <c r="C10" s="215">
        <v>10000</v>
      </c>
      <c r="D10" s="216">
        <v>10000</v>
      </c>
      <c r="E10" s="216"/>
      <c r="F10" s="216">
        <f t="shared" si="0"/>
        <v>0</v>
      </c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7">
        <f t="shared" si="1"/>
        <v>0</v>
      </c>
      <c r="T10" s="218"/>
    </row>
    <row r="11" spans="1:22" x14ac:dyDescent="0.65">
      <c r="A11" s="213">
        <v>10</v>
      </c>
      <c r="B11" s="214" t="s">
        <v>23</v>
      </c>
      <c r="C11" s="215"/>
      <c r="D11" s="216"/>
      <c r="E11" s="216">
        <v>4500</v>
      </c>
      <c r="F11" s="216">
        <f t="shared" si="0"/>
        <v>4500</v>
      </c>
      <c r="G11" s="216"/>
      <c r="H11" s="216"/>
      <c r="I11" s="216"/>
      <c r="J11" s="216"/>
      <c r="K11" s="216"/>
      <c r="L11" s="216">
        <v>4500</v>
      </c>
      <c r="M11" s="216"/>
      <c r="N11" s="216"/>
      <c r="O11" s="216"/>
      <c r="P11" s="216"/>
      <c r="Q11" s="216"/>
      <c r="R11" s="216"/>
      <c r="S11" s="217">
        <f t="shared" si="1"/>
        <v>0</v>
      </c>
      <c r="T11" s="218"/>
    </row>
    <row r="12" spans="1:22" ht="166.5" x14ac:dyDescent="0.65">
      <c r="A12" s="213">
        <v>11</v>
      </c>
      <c r="B12" s="214" t="s">
        <v>147</v>
      </c>
      <c r="C12" s="215"/>
      <c r="D12" s="216"/>
      <c r="E12" s="216">
        <v>35500</v>
      </c>
      <c r="F12" s="216">
        <f t="shared" si="0"/>
        <v>35500</v>
      </c>
      <c r="G12" s="216"/>
      <c r="H12" s="216"/>
      <c r="I12" s="216"/>
      <c r="J12" s="216"/>
      <c r="K12" s="216"/>
      <c r="L12" s="216">
        <v>24000</v>
      </c>
      <c r="M12" s="216"/>
      <c r="N12" s="216"/>
      <c r="O12" s="216"/>
      <c r="P12" s="216"/>
      <c r="Q12" s="216"/>
      <c r="R12" s="216"/>
      <c r="S12" s="217">
        <f t="shared" si="1"/>
        <v>11500</v>
      </c>
      <c r="T12" s="218"/>
      <c r="U12" s="238" t="s">
        <v>167</v>
      </c>
    </row>
    <row r="13" spans="1:22" x14ac:dyDescent="0.65">
      <c r="A13" s="213">
        <v>12</v>
      </c>
      <c r="B13" s="214" t="s">
        <v>148</v>
      </c>
      <c r="C13" s="215"/>
      <c r="D13" s="216">
        <v>1000</v>
      </c>
      <c r="E13" s="216">
        <v>100000</v>
      </c>
      <c r="F13" s="216">
        <f t="shared" si="0"/>
        <v>99000</v>
      </c>
      <c r="G13" s="216"/>
      <c r="H13" s="216"/>
      <c r="I13" s="216"/>
      <c r="J13" s="216"/>
      <c r="K13" s="216"/>
      <c r="L13" s="216"/>
      <c r="M13" s="216"/>
      <c r="N13" s="216">
        <v>99000</v>
      </c>
      <c r="O13" s="216"/>
      <c r="P13" s="216"/>
      <c r="Q13" s="216"/>
      <c r="R13" s="216"/>
      <c r="S13" s="217">
        <f t="shared" si="1"/>
        <v>0</v>
      </c>
      <c r="T13" s="218"/>
    </row>
    <row r="14" spans="1:22" x14ac:dyDescent="0.65">
      <c r="A14" s="213">
        <v>13</v>
      </c>
      <c r="B14" s="214" t="s">
        <v>149</v>
      </c>
      <c r="C14" s="215"/>
      <c r="D14" s="216">
        <v>8100</v>
      </c>
      <c r="E14" s="216">
        <v>20000</v>
      </c>
      <c r="F14" s="216">
        <f t="shared" si="0"/>
        <v>11900</v>
      </c>
      <c r="G14" s="216"/>
      <c r="H14" s="216"/>
      <c r="I14" s="216"/>
      <c r="J14" s="216"/>
      <c r="K14" s="216"/>
      <c r="L14" s="216">
        <v>11900</v>
      </c>
      <c r="M14" s="216"/>
      <c r="N14" s="216"/>
      <c r="O14" s="216"/>
      <c r="P14" s="216"/>
      <c r="Q14" s="216"/>
      <c r="R14" s="216"/>
      <c r="S14" s="217">
        <f t="shared" si="1"/>
        <v>0</v>
      </c>
      <c r="T14" s="218"/>
    </row>
    <row r="15" spans="1:22" x14ac:dyDescent="0.65">
      <c r="A15" s="213">
        <v>14</v>
      </c>
      <c r="B15" s="214" t="s">
        <v>157</v>
      </c>
      <c r="C15" s="215"/>
      <c r="D15" s="216">
        <v>12000</v>
      </c>
      <c r="E15" s="216">
        <v>12000</v>
      </c>
      <c r="F15" s="216">
        <f t="shared" si="0"/>
        <v>0</v>
      </c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7">
        <f t="shared" si="1"/>
        <v>0</v>
      </c>
      <c r="T15" s="218"/>
    </row>
    <row r="16" spans="1:22" ht="55.5" x14ac:dyDescent="0.65">
      <c r="A16" s="213">
        <v>15</v>
      </c>
      <c r="B16" s="214" t="s">
        <v>105</v>
      </c>
      <c r="C16" s="215"/>
      <c r="D16" s="216"/>
      <c r="E16" s="216">
        <v>91000</v>
      </c>
      <c r="F16" s="216">
        <f t="shared" si="0"/>
        <v>91000</v>
      </c>
      <c r="G16" s="216"/>
      <c r="H16" s="216"/>
      <c r="I16" s="216"/>
      <c r="J16" s="216"/>
      <c r="K16" s="216"/>
      <c r="L16" s="216">
        <v>78000</v>
      </c>
      <c r="M16" s="216"/>
      <c r="N16" s="216"/>
      <c r="O16" s="216"/>
      <c r="P16" s="216"/>
      <c r="Q16" s="216"/>
      <c r="R16" s="216"/>
      <c r="S16" s="217">
        <f t="shared" si="1"/>
        <v>13000</v>
      </c>
      <c r="T16" s="218"/>
      <c r="U16" s="239" t="s">
        <v>168</v>
      </c>
    </row>
    <row r="17" spans="1:21" x14ac:dyDescent="0.65">
      <c r="A17" s="213">
        <v>16</v>
      </c>
      <c r="B17" s="230" t="s">
        <v>103</v>
      </c>
      <c r="C17" s="215">
        <v>38891.82</v>
      </c>
      <c r="D17" s="216">
        <v>45000</v>
      </c>
      <c r="E17" s="216">
        <v>7578.75</v>
      </c>
      <c r="F17" s="216">
        <f t="shared" si="0"/>
        <v>1470.5699999999997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7">
        <f t="shared" si="1"/>
        <v>1470.5699999999997</v>
      </c>
      <c r="T17" s="218" t="s">
        <v>104</v>
      </c>
    </row>
    <row r="18" spans="1:21" ht="55.5" x14ac:dyDescent="0.65">
      <c r="A18" s="213">
        <v>17</v>
      </c>
      <c r="B18" s="230" t="s">
        <v>116</v>
      </c>
      <c r="C18" s="215"/>
      <c r="D18" s="216"/>
      <c r="E18" s="216">
        <v>10000</v>
      </c>
      <c r="F18" s="216">
        <f t="shared" si="0"/>
        <v>10000</v>
      </c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7">
        <f t="shared" si="1"/>
        <v>10000</v>
      </c>
      <c r="T18" s="218"/>
      <c r="U18" s="239" t="s">
        <v>169</v>
      </c>
    </row>
    <row r="19" spans="1:21" x14ac:dyDescent="0.65">
      <c r="A19" s="341" t="s">
        <v>5</v>
      </c>
      <c r="B19" s="341"/>
      <c r="C19" s="231">
        <f>SUM(C2:C17)</f>
        <v>533891.81999999995</v>
      </c>
      <c r="D19" s="231">
        <f>SUM(D2:D17)</f>
        <v>183731</v>
      </c>
      <c r="E19" s="231">
        <f>SUM(E2:E18)</f>
        <v>1151248.75</v>
      </c>
      <c r="F19" s="216">
        <f t="shared" si="0"/>
        <v>1501409.5699999998</v>
      </c>
      <c r="G19" s="232">
        <f>SUM(G2:G17)</f>
        <v>6500</v>
      </c>
      <c r="H19" s="232">
        <f t="shared" ref="H19:L19" si="2">SUM(H2:H17)</f>
        <v>2500</v>
      </c>
      <c r="I19" s="232">
        <f t="shared" si="2"/>
        <v>1260</v>
      </c>
      <c r="J19" s="232">
        <f t="shared" si="2"/>
        <v>0</v>
      </c>
      <c r="K19" s="232">
        <f t="shared" si="2"/>
        <v>1500</v>
      </c>
      <c r="L19" s="232">
        <f t="shared" si="2"/>
        <v>943200</v>
      </c>
      <c r="M19" s="232">
        <f>SUM(M2:M17)</f>
        <v>177500</v>
      </c>
      <c r="N19" s="232">
        <f>SUM(N2:N17)</f>
        <v>173387.5</v>
      </c>
      <c r="O19" s="232"/>
      <c r="P19" s="232"/>
      <c r="Q19" s="232"/>
      <c r="R19" s="232"/>
      <c r="S19" s="217">
        <f t="shared" si="1"/>
        <v>195562.06999999983</v>
      </c>
      <c r="T19" s="218"/>
    </row>
    <row r="21" spans="1:21" x14ac:dyDescent="0.65">
      <c r="T21" s="233"/>
    </row>
  </sheetData>
  <mergeCells count="1">
    <mergeCell ref="A19:B19"/>
  </mergeCells>
  <phoneticPr fontId="27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8B45-0A63-4F0F-9B1F-26D737515B8E}">
  <dimension ref="A1:K21"/>
  <sheetViews>
    <sheetView workbookViewId="0">
      <selection activeCell="H4" sqref="H4"/>
    </sheetView>
  </sheetViews>
  <sheetFormatPr defaultRowHeight="23.25" x14ac:dyDescent="0.5"/>
  <cols>
    <col min="1" max="1" width="9" style="313"/>
    <col min="2" max="2" width="37.25" style="295" customWidth="1"/>
    <col min="3" max="3" width="49.25" style="295" customWidth="1"/>
    <col min="4" max="5" width="20" style="314" customWidth="1"/>
    <col min="6" max="6" width="20" style="314" hidden="1" customWidth="1"/>
    <col min="7" max="7" width="20" style="315" customWidth="1"/>
    <col min="8" max="8" width="18" style="314" customWidth="1"/>
    <col min="9" max="9" width="16.125" style="295" customWidth="1"/>
    <col min="10" max="10" width="19.75" style="295" customWidth="1"/>
    <col min="11" max="11" width="18.375" style="295" customWidth="1"/>
    <col min="12" max="12" width="16.75" style="295" customWidth="1"/>
    <col min="13" max="16384" width="9" style="295"/>
  </cols>
  <sheetData>
    <row r="1" spans="1:11" x14ac:dyDescent="0.5">
      <c r="A1" s="334" t="s">
        <v>171</v>
      </c>
      <c r="B1" s="334"/>
      <c r="C1" s="334"/>
      <c r="D1" s="334"/>
      <c r="E1" s="334"/>
      <c r="F1" s="334"/>
      <c r="G1" s="334"/>
      <c r="H1" s="334"/>
    </row>
    <row r="2" spans="1:11" x14ac:dyDescent="0.5">
      <c r="A2" s="303" t="s">
        <v>0</v>
      </c>
      <c r="B2" s="303" t="s">
        <v>172</v>
      </c>
      <c r="C2" s="303" t="s">
        <v>173</v>
      </c>
      <c r="D2" s="304" t="s">
        <v>174</v>
      </c>
      <c r="E2" s="304" t="s">
        <v>175</v>
      </c>
      <c r="F2" s="304" t="s">
        <v>176</v>
      </c>
      <c r="G2" s="305" t="s">
        <v>177</v>
      </c>
      <c r="H2" s="304" t="s">
        <v>178</v>
      </c>
      <c r="I2" s="290" t="s">
        <v>179</v>
      </c>
      <c r="J2" s="290" t="s">
        <v>180</v>
      </c>
      <c r="K2" s="290" t="s">
        <v>180</v>
      </c>
    </row>
    <row r="3" spans="1:11" x14ac:dyDescent="0.5">
      <c r="A3" s="335" t="s">
        <v>181</v>
      </c>
      <c r="B3" s="336"/>
      <c r="C3" s="337"/>
      <c r="D3" s="304"/>
      <c r="E3" s="304"/>
      <c r="F3" s="304"/>
      <c r="G3" s="305"/>
      <c r="H3" s="304">
        <v>232000</v>
      </c>
      <c r="I3" s="290"/>
      <c r="J3" s="290"/>
      <c r="K3" s="290"/>
    </row>
    <row r="4" spans="1:11" s="298" customFormat="1" x14ac:dyDescent="0.2">
      <c r="A4" s="289">
        <v>1</v>
      </c>
      <c r="B4" s="294"/>
      <c r="C4" s="296"/>
      <c r="D4" s="288"/>
      <c r="E4" s="288"/>
      <c r="F4" s="288"/>
      <c r="G4" s="292"/>
      <c r="H4" s="288">
        <f>H3-G4</f>
        <v>232000</v>
      </c>
      <c r="I4" s="306"/>
      <c r="J4" s="307"/>
      <c r="K4" s="294"/>
    </row>
    <row r="5" spans="1:11" s="298" customFormat="1" x14ac:dyDescent="0.2">
      <c r="A5" s="289">
        <v>2</v>
      </c>
      <c r="B5" s="294"/>
      <c r="C5" s="296"/>
      <c r="D5" s="288"/>
      <c r="E5" s="288"/>
      <c r="F5" s="288"/>
      <c r="G5" s="292"/>
      <c r="H5" s="288">
        <f t="shared" ref="H5:H21" si="0">H4-G5</f>
        <v>232000</v>
      </c>
      <c r="I5" s="308"/>
      <c r="J5" s="307"/>
      <c r="K5" s="294"/>
    </row>
    <row r="6" spans="1:11" s="298" customFormat="1" x14ac:dyDescent="0.5">
      <c r="A6" s="289">
        <v>3</v>
      </c>
      <c r="B6" s="309"/>
      <c r="C6" s="296"/>
      <c r="D6" s="288"/>
      <c r="E6" s="288"/>
      <c r="F6" s="288"/>
      <c r="G6" s="292"/>
      <c r="H6" s="288">
        <f t="shared" si="0"/>
        <v>232000</v>
      </c>
      <c r="I6" s="306"/>
      <c r="J6" s="310"/>
      <c r="K6" s="294"/>
    </row>
    <row r="7" spans="1:11" s="298" customFormat="1" x14ac:dyDescent="0.2">
      <c r="A7" s="289">
        <v>4</v>
      </c>
      <c r="B7" s="294"/>
      <c r="C7" s="296"/>
      <c r="D7" s="288"/>
      <c r="E7" s="288"/>
      <c r="F7" s="288"/>
      <c r="G7" s="292"/>
      <c r="H7" s="288">
        <f t="shared" si="0"/>
        <v>232000</v>
      </c>
      <c r="I7" s="311"/>
      <c r="J7" s="311"/>
      <c r="K7" s="294"/>
    </row>
    <row r="8" spans="1:11" s="298" customFormat="1" x14ac:dyDescent="0.2">
      <c r="A8" s="289">
        <v>5</v>
      </c>
      <c r="B8" s="294"/>
      <c r="C8" s="296"/>
      <c r="D8" s="288"/>
      <c r="E8" s="288"/>
      <c r="F8" s="288"/>
      <c r="G8" s="292"/>
      <c r="H8" s="288">
        <f t="shared" si="0"/>
        <v>232000</v>
      </c>
      <c r="I8" s="297"/>
      <c r="J8" s="297"/>
      <c r="K8" s="297"/>
    </row>
    <row r="9" spans="1:11" s="298" customFormat="1" x14ac:dyDescent="0.5">
      <c r="A9" s="289">
        <v>6</v>
      </c>
      <c r="B9" s="312"/>
      <c r="C9" s="296"/>
      <c r="D9" s="288"/>
      <c r="E9" s="288"/>
      <c r="F9" s="288"/>
      <c r="G9" s="292"/>
      <c r="H9" s="288">
        <f t="shared" si="0"/>
        <v>232000</v>
      </c>
      <c r="I9" s="297"/>
      <c r="J9" s="307"/>
      <c r="K9" s="297"/>
    </row>
    <row r="10" spans="1:11" s="298" customFormat="1" x14ac:dyDescent="0.5">
      <c r="A10" s="289">
        <v>7</v>
      </c>
      <c r="B10" s="309"/>
      <c r="C10" s="296"/>
      <c r="D10" s="288"/>
      <c r="E10" s="288"/>
      <c r="F10" s="288"/>
      <c r="G10" s="292"/>
      <c r="H10" s="288">
        <f t="shared" si="0"/>
        <v>232000</v>
      </c>
      <c r="I10" s="297"/>
      <c r="J10" s="307"/>
      <c r="K10" s="297"/>
    </row>
    <row r="11" spans="1:11" s="298" customFormat="1" x14ac:dyDescent="0.5">
      <c r="A11" s="289">
        <v>8</v>
      </c>
      <c r="B11" s="294"/>
      <c r="C11" s="296"/>
      <c r="D11" s="288"/>
      <c r="E11" s="288"/>
      <c r="F11" s="288"/>
      <c r="G11" s="292"/>
      <c r="H11" s="288">
        <f t="shared" si="0"/>
        <v>232000</v>
      </c>
      <c r="I11" s="309"/>
      <c r="J11" s="307"/>
      <c r="K11" s="294"/>
    </row>
    <row r="12" spans="1:11" s="298" customFormat="1" x14ac:dyDescent="0.2">
      <c r="A12" s="289">
        <v>9</v>
      </c>
      <c r="B12" s="294"/>
      <c r="C12" s="296"/>
      <c r="D12" s="288"/>
      <c r="E12" s="288"/>
      <c r="F12" s="288"/>
      <c r="G12" s="292"/>
      <c r="H12" s="288">
        <f t="shared" si="0"/>
        <v>232000</v>
      </c>
      <c r="I12" s="297"/>
      <c r="J12" s="307"/>
      <c r="K12" s="294"/>
    </row>
    <row r="13" spans="1:11" s="298" customFormat="1" x14ac:dyDescent="0.2">
      <c r="A13" s="289">
        <v>10</v>
      </c>
      <c r="B13" s="294"/>
      <c r="C13" s="296"/>
      <c r="D13" s="288"/>
      <c r="E13" s="288"/>
      <c r="F13" s="288"/>
      <c r="G13" s="292"/>
      <c r="H13" s="288">
        <f t="shared" si="0"/>
        <v>232000</v>
      </c>
      <c r="I13" s="297"/>
      <c r="J13" s="297"/>
      <c r="K13" s="294"/>
    </row>
    <row r="14" spans="1:11" s="298" customFormat="1" x14ac:dyDescent="0.2">
      <c r="A14" s="289">
        <v>11</v>
      </c>
      <c r="B14" s="294"/>
      <c r="C14" s="296"/>
      <c r="D14" s="288"/>
      <c r="E14" s="288"/>
      <c r="F14" s="288"/>
      <c r="G14" s="292"/>
      <c r="H14" s="288">
        <f t="shared" si="0"/>
        <v>232000</v>
      </c>
      <c r="I14" s="297"/>
      <c r="J14" s="307"/>
      <c r="K14" s="294"/>
    </row>
    <row r="15" spans="1:11" s="298" customFormat="1" x14ac:dyDescent="0.2">
      <c r="A15" s="289">
        <v>12</v>
      </c>
      <c r="B15" s="294"/>
      <c r="C15" s="296"/>
      <c r="D15" s="288"/>
      <c r="E15" s="288"/>
      <c r="F15" s="288"/>
      <c r="G15" s="292"/>
      <c r="H15" s="288">
        <f t="shared" si="0"/>
        <v>232000</v>
      </c>
      <c r="I15" s="297"/>
      <c r="J15" s="297"/>
      <c r="K15" s="294"/>
    </row>
    <row r="16" spans="1:11" x14ac:dyDescent="0.5">
      <c r="A16" s="289">
        <v>13</v>
      </c>
      <c r="B16" s="290"/>
      <c r="C16" s="290"/>
      <c r="D16" s="291"/>
      <c r="E16" s="291"/>
      <c r="F16" s="291"/>
      <c r="G16" s="292"/>
      <c r="H16" s="288">
        <f t="shared" si="0"/>
        <v>232000</v>
      </c>
      <c r="I16" s="293"/>
      <c r="J16" s="293"/>
      <c r="K16" s="294"/>
    </row>
    <row r="17" spans="1:11" s="298" customFormat="1" x14ac:dyDescent="0.2">
      <c r="A17" s="289">
        <v>14</v>
      </c>
      <c r="B17" s="294"/>
      <c r="C17" s="296"/>
      <c r="D17" s="288"/>
      <c r="E17" s="288"/>
      <c r="F17" s="288"/>
      <c r="G17" s="292"/>
      <c r="H17" s="288">
        <f t="shared" si="0"/>
        <v>232000</v>
      </c>
      <c r="I17" s="297"/>
      <c r="J17" s="297"/>
      <c r="K17" s="294"/>
    </row>
    <row r="18" spans="1:11" x14ac:dyDescent="0.5">
      <c r="A18" s="289">
        <v>15</v>
      </c>
      <c r="B18" s="290"/>
      <c r="C18" s="299"/>
      <c r="D18" s="291"/>
      <c r="E18" s="291"/>
      <c r="F18" s="291"/>
      <c r="G18" s="292">
        <f t="shared" ref="G18:G34" si="1">D18+E18+F18</f>
        <v>0</v>
      </c>
      <c r="H18" s="288">
        <f t="shared" si="0"/>
        <v>232000</v>
      </c>
      <c r="I18" s="293"/>
      <c r="J18" s="293"/>
      <c r="K18" s="290"/>
    </row>
    <row r="19" spans="1:11" s="298" customFormat="1" x14ac:dyDescent="0.2">
      <c r="A19" s="289">
        <v>16</v>
      </c>
      <c r="B19" s="294"/>
      <c r="C19" s="296"/>
      <c r="D19" s="288"/>
      <c r="E19" s="288"/>
      <c r="F19" s="288"/>
      <c r="G19" s="292">
        <f t="shared" si="1"/>
        <v>0</v>
      </c>
      <c r="H19" s="288">
        <f t="shared" si="0"/>
        <v>232000</v>
      </c>
      <c r="I19" s="300"/>
      <c r="J19" s="297"/>
      <c r="K19" s="294"/>
    </row>
    <row r="20" spans="1:11" x14ac:dyDescent="0.5">
      <c r="A20" s="289"/>
      <c r="B20" s="290"/>
      <c r="C20" s="290"/>
      <c r="D20" s="291"/>
      <c r="E20" s="291"/>
      <c r="F20" s="291"/>
      <c r="G20" s="292">
        <f t="shared" si="1"/>
        <v>0</v>
      </c>
      <c r="H20" s="288">
        <f t="shared" si="0"/>
        <v>232000</v>
      </c>
      <c r="I20" s="301"/>
      <c r="J20" s="293"/>
      <c r="K20" s="290"/>
    </row>
    <row r="21" spans="1:11" x14ac:dyDescent="0.5">
      <c r="A21" s="338"/>
      <c r="B21" s="339"/>
      <c r="C21" s="340"/>
      <c r="D21" s="302"/>
      <c r="E21" s="302"/>
      <c r="F21" s="302"/>
      <c r="G21" s="292">
        <f t="shared" si="1"/>
        <v>0</v>
      </c>
      <c r="H21" s="288">
        <f t="shared" si="0"/>
        <v>232000</v>
      </c>
      <c r="I21" s="290"/>
      <c r="J21" s="290"/>
      <c r="K21" s="290"/>
    </row>
  </sheetData>
  <mergeCells count="3">
    <mergeCell ref="A1:H1"/>
    <mergeCell ref="A3:C3"/>
    <mergeCell ref="A21:C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ADB1-E4FB-40AF-83A9-812E70CA0DCE}">
  <sheetPr>
    <tabColor rgb="FFFFC000"/>
  </sheetPr>
  <dimension ref="A1:R16"/>
  <sheetViews>
    <sheetView topLeftCell="B1" zoomScale="110" zoomScaleNormal="110" workbookViewId="0">
      <selection activeCell="B4" sqref="B4"/>
    </sheetView>
  </sheetViews>
  <sheetFormatPr defaultRowHeight="21" x14ac:dyDescent="0.45"/>
  <cols>
    <col min="1" max="1" width="4.875" bestFit="1" customWidth="1"/>
    <col min="2" max="2" width="37.875" customWidth="1"/>
    <col min="3" max="3" width="22.625" customWidth="1"/>
    <col min="4" max="4" width="17.25" customWidth="1"/>
    <col min="5" max="6" width="17.375" customWidth="1"/>
    <col min="7" max="13" width="16.75" hidden="1" customWidth="1"/>
    <col min="14" max="15" width="16.75" customWidth="1"/>
    <col min="16" max="16" width="23.5" customWidth="1"/>
    <col min="17" max="17" width="23.75" style="286" customWidth="1"/>
    <col min="18" max="18" width="26.875" style="237" customWidth="1"/>
  </cols>
  <sheetData>
    <row r="1" spans="1:18" ht="23.25" x14ac:dyDescent="0.45">
      <c r="A1" s="56" t="s">
        <v>0</v>
      </c>
      <c r="B1" s="56" t="s">
        <v>1</v>
      </c>
      <c r="C1" s="57" t="s">
        <v>111</v>
      </c>
      <c r="D1" s="57" t="s">
        <v>65</v>
      </c>
      <c r="E1" s="57" t="s">
        <v>67</v>
      </c>
      <c r="F1" s="57" t="s">
        <v>66</v>
      </c>
      <c r="G1" s="153">
        <v>25112</v>
      </c>
      <c r="H1" s="153">
        <v>25143</v>
      </c>
      <c r="I1" s="153">
        <v>25173</v>
      </c>
      <c r="J1" s="153">
        <v>25204</v>
      </c>
      <c r="K1" s="153">
        <v>25235</v>
      </c>
      <c r="L1" s="153">
        <v>25263</v>
      </c>
      <c r="M1" s="153">
        <v>25294</v>
      </c>
      <c r="N1" s="153">
        <v>25324</v>
      </c>
      <c r="O1" s="153">
        <v>25355</v>
      </c>
      <c r="P1" s="58" t="s">
        <v>66</v>
      </c>
      <c r="R1" s="154" t="s">
        <v>165</v>
      </c>
    </row>
    <row r="2" spans="1:18" x14ac:dyDescent="0.45">
      <c r="A2" s="23">
        <v>1</v>
      </c>
      <c r="B2" s="26" t="s">
        <v>49</v>
      </c>
      <c r="C2" s="18">
        <v>22500</v>
      </c>
      <c r="D2" s="24">
        <v>7207.5</v>
      </c>
      <c r="E2" s="24"/>
      <c r="F2" s="18">
        <f>C2-D2+E2</f>
        <v>15292.5</v>
      </c>
      <c r="G2" s="24">
        <v>11560</v>
      </c>
      <c r="H2" s="24"/>
      <c r="I2" s="24"/>
      <c r="J2" s="24">
        <v>6120</v>
      </c>
      <c r="K2" s="24"/>
      <c r="L2" s="24"/>
      <c r="M2" s="205">
        <v>-11072.5</v>
      </c>
      <c r="N2" s="24">
        <v>5100</v>
      </c>
      <c r="O2" s="24"/>
      <c r="P2" s="24">
        <f>F2-G2-H2-I2-J2-K2-L2-M2-N2-O2</f>
        <v>3585</v>
      </c>
      <c r="Q2" s="286" t="s">
        <v>136</v>
      </c>
    </row>
    <row r="3" spans="1:18" x14ac:dyDescent="0.45">
      <c r="A3" s="23">
        <v>2</v>
      </c>
      <c r="B3" s="26" t="s">
        <v>10</v>
      </c>
      <c r="C3" s="18">
        <v>20000</v>
      </c>
      <c r="D3" s="24"/>
      <c r="E3" s="24"/>
      <c r="F3" s="18">
        <f t="shared" ref="F3:F16" si="0">C3-D3+E3</f>
        <v>20000</v>
      </c>
      <c r="G3" s="24"/>
      <c r="H3" s="24"/>
      <c r="I3" s="24"/>
      <c r="J3" s="24"/>
      <c r="K3" s="24"/>
      <c r="L3" s="24"/>
      <c r="M3" s="24"/>
      <c r="N3" s="24">
        <v>2100</v>
      </c>
      <c r="O3" s="24"/>
      <c r="P3" s="24">
        <f t="shared" ref="P3:P16" si="1">F3-G3-H3-I3-J3-K3-L3-M3-N3-O3</f>
        <v>17900</v>
      </c>
    </row>
    <row r="4" spans="1:18" x14ac:dyDescent="0.45">
      <c r="A4" s="23">
        <v>3</v>
      </c>
      <c r="B4" s="26" t="s">
        <v>15</v>
      </c>
      <c r="C4" s="18">
        <v>225000</v>
      </c>
      <c r="D4" s="24">
        <v>155200</v>
      </c>
      <c r="E4" s="24"/>
      <c r="F4" s="18">
        <f t="shared" si="0"/>
        <v>69800</v>
      </c>
      <c r="G4" s="24">
        <v>6700</v>
      </c>
      <c r="H4" s="24"/>
      <c r="I4" s="24"/>
      <c r="J4" s="24">
        <v>4100</v>
      </c>
      <c r="K4" s="24"/>
      <c r="L4" s="24"/>
      <c r="M4" s="24"/>
      <c r="N4" s="24"/>
      <c r="O4" s="24"/>
      <c r="P4" s="24">
        <f t="shared" si="1"/>
        <v>59000</v>
      </c>
      <c r="Q4" s="286" t="s">
        <v>139</v>
      </c>
    </row>
    <row r="5" spans="1:18" x14ac:dyDescent="0.45">
      <c r="A5" s="23">
        <v>4</v>
      </c>
      <c r="B5" s="26" t="s">
        <v>16</v>
      </c>
      <c r="C5" s="18">
        <v>54631.51</v>
      </c>
      <c r="D5" s="24">
        <v>54631.51</v>
      </c>
      <c r="E5" s="24"/>
      <c r="F5" s="18">
        <f t="shared" si="0"/>
        <v>0</v>
      </c>
      <c r="G5" s="24"/>
      <c r="H5" s="24"/>
      <c r="I5" s="24"/>
      <c r="J5" s="24"/>
      <c r="K5" s="24"/>
      <c r="L5" s="24"/>
      <c r="M5" s="24"/>
      <c r="N5" s="24"/>
      <c r="O5" s="24"/>
      <c r="P5" s="24">
        <f t="shared" si="1"/>
        <v>0</v>
      </c>
    </row>
    <row r="6" spans="1:18" x14ac:dyDescent="0.45">
      <c r="A6" s="23">
        <v>5</v>
      </c>
      <c r="B6" s="26" t="s">
        <v>25</v>
      </c>
      <c r="C6" s="18">
        <v>500</v>
      </c>
      <c r="D6" s="24"/>
      <c r="E6" s="24"/>
      <c r="F6" s="18">
        <f t="shared" si="0"/>
        <v>500</v>
      </c>
      <c r="G6" s="24"/>
      <c r="H6" s="24"/>
      <c r="I6" s="24"/>
      <c r="J6" s="24"/>
      <c r="K6" s="24"/>
      <c r="L6" s="24"/>
      <c r="M6" s="24">
        <v>500</v>
      </c>
      <c r="N6" s="24"/>
      <c r="O6" s="24"/>
      <c r="P6" s="24">
        <f t="shared" si="1"/>
        <v>0</v>
      </c>
    </row>
    <row r="7" spans="1:18" x14ac:dyDescent="0.45">
      <c r="A7" s="23">
        <v>6</v>
      </c>
      <c r="B7" s="26" t="s">
        <v>26</v>
      </c>
      <c r="C7" s="18">
        <v>50000</v>
      </c>
      <c r="D7" s="24"/>
      <c r="E7" s="24"/>
      <c r="F7" s="18">
        <f t="shared" si="0"/>
        <v>50000</v>
      </c>
      <c r="G7" s="24"/>
      <c r="H7" s="24"/>
      <c r="I7" s="24"/>
      <c r="J7" s="24"/>
      <c r="K7" s="24"/>
      <c r="L7" s="24"/>
      <c r="M7" s="24"/>
      <c r="N7" s="24"/>
      <c r="O7" s="24"/>
      <c r="P7" s="24">
        <f t="shared" si="1"/>
        <v>50000</v>
      </c>
    </row>
    <row r="8" spans="1:18" ht="84" x14ac:dyDescent="0.45">
      <c r="A8" s="23">
        <v>7</v>
      </c>
      <c r="B8" s="26" t="s">
        <v>29</v>
      </c>
      <c r="C8" s="18">
        <v>40000</v>
      </c>
      <c r="D8" s="24">
        <v>17.87</v>
      </c>
      <c r="E8" s="24">
        <v>1105614.75</v>
      </c>
      <c r="F8" s="18">
        <f t="shared" si="0"/>
        <v>1145596.8799999999</v>
      </c>
      <c r="G8" s="24"/>
      <c r="H8" s="24"/>
      <c r="I8" s="24"/>
      <c r="J8" s="24"/>
      <c r="K8" s="24"/>
      <c r="L8" s="24">
        <v>963000</v>
      </c>
      <c r="M8" s="24"/>
      <c r="N8" s="24"/>
      <c r="O8" s="24"/>
      <c r="P8" s="24">
        <f t="shared" si="1"/>
        <v>182596.87999999989</v>
      </c>
      <c r="Q8" s="287" t="s">
        <v>160</v>
      </c>
      <c r="R8" s="235" t="s">
        <v>161</v>
      </c>
    </row>
    <row r="9" spans="1:18" ht="42" x14ac:dyDescent="0.45">
      <c r="A9" s="23">
        <v>8</v>
      </c>
      <c r="B9" s="26" t="s">
        <v>106</v>
      </c>
      <c r="C9" s="18">
        <v>20000</v>
      </c>
      <c r="D9" s="24"/>
      <c r="E9" s="24"/>
      <c r="F9" s="18">
        <f t="shared" si="0"/>
        <v>20000</v>
      </c>
      <c r="G9" s="24"/>
      <c r="H9" s="24"/>
      <c r="I9" s="24"/>
      <c r="J9" s="24"/>
      <c r="K9" s="24"/>
      <c r="L9" s="24"/>
      <c r="M9" s="24"/>
      <c r="N9" s="24"/>
      <c r="O9" s="24"/>
      <c r="P9" s="24">
        <f t="shared" si="1"/>
        <v>20000</v>
      </c>
    </row>
    <row r="10" spans="1:18" x14ac:dyDescent="0.45">
      <c r="A10" s="23">
        <v>9</v>
      </c>
      <c r="B10" s="26" t="s">
        <v>107</v>
      </c>
      <c r="C10" s="18">
        <v>30000</v>
      </c>
      <c r="D10" s="24"/>
      <c r="E10" s="24"/>
      <c r="F10" s="18">
        <f t="shared" si="0"/>
        <v>30000</v>
      </c>
      <c r="G10" s="24"/>
      <c r="H10" s="24"/>
      <c r="I10" s="24"/>
      <c r="J10" s="24"/>
      <c r="K10" s="24">
        <v>5000</v>
      </c>
      <c r="L10" s="24">
        <v>12500</v>
      </c>
      <c r="M10" s="205">
        <v>-2780</v>
      </c>
      <c r="N10" s="24"/>
      <c r="O10" s="24"/>
      <c r="P10" s="24">
        <f t="shared" si="1"/>
        <v>15280</v>
      </c>
    </row>
    <row r="11" spans="1:18" x14ac:dyDescent="0.45">
      <c r="A11" s="23">
        <v>10</v>
      </c>
      <c r="B11" s="52" t="s">
        <v>108</v>
      </c>
      <c r="C11" s="18">
        <v>20000</v>
      </c>
      <c r="D11" s="24">
        <v>10350</v>
      </c>
      <c r="E11" s="24"/>
      <c r="F11" s="18">
        <f t="shared" si="0"/>
        <v>9650</v>
      </c>
      <c r="G11" s="24"/>
      <c r="H11" s="24"/>
      <c r="I11" s="24"/>
      <c r="J11" s="24"/>
      <c r="K11" s="24"/>
      <c r="L11" s="24">
        <v>20000</v>
      </c>
      <c r="M11" s="24"/>
      <c r="N11" s="24"/>
      <c r="O11" s="24">
        <v>-10350</v>
      </c>
      <c r="P11" s="24">
        <f t="shared" si="1"/>
        <v>0</v>
      </c>
    </row>
    <row r="12" spans="1:18" x14ac:dyDescent="0.45">
      <c r="A12" s="23">
        <v>11</v>
      </c>
      <c r="B12" s="52" t="s">
        <v>109</v>
      </c>
      <c r="C12" s="18">
        <v>5000</v>
      </c>
      <c r="D12" s="24"/>
      <c r="E12" s="24"/>
      <c r="F12" s="18">
        <f t="shared" si="0"/>
        <v>5000</v>
      </c>
      <c r="G12" s="24"/>
      <c r="H12" s="24"/>
      <c r="I12" s="24"/>
      <c r="J12" s="24"/>
      <c r="K12" s="24"/>
      <c r="L12" s="24"/>
      <c r="M12" s="24"/>
      <c r="N12" s="24"/>
      <c r="O12" s="24"/>
      <c r="P12" s="24">
        <f t="shared" si="1"/>
        <v>5000</v>
      </c>
    </row>
    <row r="13" spans="1:18" x14ac:dyDescent="0.45">
      <c r="A13" s="23">
        <v>12</v>
      </c>
      <c r="B13" s="52" t="s">
        <v>110</v>
      </c>
      <c r="C13" s="18">
        <v>5000</v>
      </c>
      <c r="D13" s="24">
        <v>190</v>
      </c>
      <c r="E13" s="24"/>
      <c r="F13" s="18">
        <f t="shared" si="0"/>
        <v>4810</v>
      </c>
      <c r="G13" s="24"/>
      <c r="H13" s="24">
        <v>4810</v>
      </c>
      <c r="I13" s="24"/>
      <c r="J13" s="24"/>
      <c r="K13" s="24"/>
      <c r="L13" s="24"/>
      <c r="M13" s="24"/>
      <c r="N13" s="24"/>
      <c r="O13" s="24"/>
      <c r="P13" s="24">
        <f t="shared" si="1"/>
        <v>0</v>
      </c>
    </row>
    <row r="14" spans="1:18" x14ac:dyDescent="0.45">
      <c r="A14" s="23">
        <v>13</v>
      </c>
      <c r="B14" s="234" t="s">
        <v>147</v>
      </c>
      <c r="C14" s="18"/>
      <c r="D14" s="24"/>
      <c r="E14" s="24">
        <v>5000</v>
      </c>
      <c r="F14" s="18">
        <f t="shared" si="0"/>
        <v>5000</v>
      </c>
      <c r="G14" s="24"/>
      <c r="H14" s="24"/>
      <c r="I14" s="24"/>
      <c r="J14" s="24"/>
      <c r="K14" s="24"/>
      <c r="L14" s="24"/>
      <c r="M14" s="24"/>
      <c r="N14" s="24"/>
      <c r="O14" s="24"/>
      <c r="P14" s="24">
        <f t="shared" si="1"/>
        <v>5000</v>
      </c>
      <c r="R14" s="237" t="s">
        <v>163</v>
      </c>
    </row>
    <row r="15" spans="1:18" x14ac:dyDescent="0.45">
      <c r="A15" s="23">
        <v>14</v>
      </c>
      <c r="B15" s="234" t="s">
        <v>162</v>
      </c>
      <c r="C15" s="18"/>
      <c r="D15" s="24"/>
      <c r="E15" s="24">
        <v>40000</v>
      </c>
      <c r="F15" s="18">
        <f t="shared" si="0"/>
        <v>40000</v>
      </c>
      <c r="G15" s="24"/>
      <c r="H15" s="24"/>
      <c r="I15" s="24"/>
      <c r="J15" s="24"/>
      <c r="K15" s="24"/>
      <c r="L15" s="24"/>
      <c r="M15" s="24"/>
      <c r="N15" s="24"/>
      <c r="O15" s="24"/>
      <c r="P15" s="24">
        <f t="shared" si="1"/>
        <v>40000</v>
      </c>
      <c r="R15" s="237" t="s">
        <v>164</v>
      </c>
    </row>
    <row r="16" spans="1:18" x14ac:dyDescent="0.45">
      <c r="A16" s="342" t="s">
        <v>5</v>
      </c>
      <c r="B16" s="343"/>
      <c r="C16" s="59">
        <v>492631.51304347825</v>
      </c>
      <c r="D16" s="59">
        <f>SUM(D2:D15)</f>
        <v>227596.88</v>
      </c>
      <c r="E16" s="59">
        <f>SUM(E2:E15)</f>
        <v>1150614.75</v>
      </c>
      <c r="F16" s="187">
        <f t="shared" si="0"/>
        <v>1415649.3830434782</v>
      </c>
      <c r="G16" s="187">
        <f>SUM(G2:G13)</f>
        <v>18260</v>
      </c>
      <c r="H16" s="187">
        <f>SUM(H2:H13)</f>
        <v>4810</v>
      </c>
      <c r="I16" s="187">
        <f t="shared" ref="I16:L16" si="2">SUM(I2:I13)</f>
        <v>0</v>
      </c>
      <c r="J16" s="187">
        <f t="shared" si="2"/>
        <v>10220</v>
      </c>
      <c r="K16" s="187">
        <f t="shared" si="2"/>
        <v>5000</v>
      </c>
      <c r="L16" s="187">
        <f t="shared" si="2"/>
        <v>995500</v>
      </c>
      <c r="M16" s="187">
        <f>SUM(M2:M13)</f>
        <v>-13352.5</v>
      </c>
      <c r="N16" s="187">
        <f>SUM(N2:N13)</f>
        <v>7200</v>
      </c>
      <c r="O16" s="187">
        <f>SUM(O2:O15)</f>
        <v>-10350</v>
      </c>
      <c r="P16" s="236">
        <f t="shared" si="1"/>
        <v>398361.88304347824</v>
      </c>
    </row>
  </sheetData>
  <mergeCells count="1">
    <mergeCell ref="A16:B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F3A3-3F00-4992-A289-8943FC116B6F}">
  <dimension ref="A1:K21"/>
  <sheetViews>
    <sheetView workbookViewId="0">
      <selection activeCell="E14" sqref="E14"/>
    </sheetView>
  </sheetViews>
  <sheetFormatPr defaultRowHeight="23.25" x14ac:dyDescent="0.5"/>
  <cols>
    <col min="1" max="1" width="9" style="313"/>
    <col min="2" max="2" width="37.25" style="295" customWidth="1"/>
    <col min="3" max="3" width="49.25" style="295" customWidth="1"/>
    <col min="4" max="5" width="20" style="314" customWidth="1"/>
    <col min="6" max="6" width="20" style="314" hidden="1" customWidth="1"/>
    <col min="7" max="7" width="20" style="315" customWidth="1"/>
    <col min="8" max="8" width="18" style="314" customWidth="1"/>
    <col min="9" max="9" width="16.125" style="295" customWidth="1"/>
    <col min="10" max="10" width="19.75" style="295" customWidth="1"/>
    <col min="11" max="11" width="18.375" style="295" customWidth="1"/>
    <col min="12" max="12" width="16.75" style="295" customWidth="1"/>
    <col min="13" max="16384" width="9" style="295"/>
  </cols>
  <sheetData>
    <row r="1" spans="1:11" x14ac:dyDescent="0.5">
      <c r="A1" s="334" t="s">
        <v>171</v>
      </c>
      <c r="B1" s="334"/>
      <c r="C1" s="334"/>
      <c r="D1" s="334"/>
      <c r="E1" s="334"/>
      <c r="F1" s="334"/>
      <c r="G1" s="334"/>
      <c r="H1" s="334"/>
    </row>
    <row r="2" spans="1:11" x14ac:dyDescent="0.5">
      <c r="A2" s="303" t="s">
        <v>0</v>
      </c>
      <c r="B2" s="303" t="s">
        <v>172</v>
      </c>
      <c r="C2" s="303" t="s">
        <v>173</v>
      </c>
      <c r="D2" s="304" t="s">
        <v>174</v>
      </c>
      <c r="E2" s="304" t="s">
        <v>175</v>
      </c>
      <c r="F2" s="304" t="s">
        <v>176</v>
      </c>
      <c r="G2" s="305" t="s">
        <v>177</v>
      </c>
      <c r="H2" s="304" t="s">
        <v>178</v>
      </c>
      <c r="I2" s="290" t="s">
        <v>179</v>
      </c>
      <c r="J2" s="290" t="s">
        <v>180</v>
      </c>
      <c r="K2" s="290" t="s">
        <v>180</v>
      </c>
    </row>
    <row r="3" spans="1:11" x14ac:dyDescent="0.5">
      <c r="A3" s="335" t="s">
        <v>181</v>
      </c>
      <c r="B3" s="336"/>
      <c r="C3" s="337"/>
      <c r="D3" s="304"/>
      <c r="E3" s="304"/>
      <c r="F3" s="304"/>
      <c r="G3" s="305"/>
      <c r="H3" s="304">
        <v>225000</v>
      </c>
      <c r="I3" s="290"/>
      <c r="J3" s="290"/>
      <c r="K3" s="290"/>
    </row>
    <row r="4" spans="1:11" s="298" customFormat="1" x14ac:dyDescent="0.2">
      <c r="A4" s="289">
        <v>1</v>
      </c>
      <c r="B4" s="294"/>
      <c r="C4" s="296"/>
      <c r="D4" s="288"/>
      <c r="E4" s="288"/>
      <c r="F4" s="288"/>
      <c r="G4" s="292"/>
      <c r="H4" s="288">
        <f>H3-G4</f>
        <v>225000</v>
      </c>
      <c r="I4" s="306"/>
      <c r="J4" s="307"/>
      <c r="K4" s="294"/>
    </row>
    <row r="5" spans="1:11" s="298" customFormat="1" x14ac:dyDescent="0.2">
      <c r="A5" s="289">
        <v>2</v>
      </c>
      <c r="B5" s="294"/>
      <c r="C5" s="296"/>
      <c r="D5" s="288"/>
      <c r="E5" s="288"/>
      <c r="F5" s="288"/>
      <c r="G5" s="292"/>
      <c r="H5" s="288">
        <f t="shared" ref="H5:H21" si="0">H4-G5</f>
        <v>225000</v>
      </c>
      <c r="I5" s="308"/>
      <c r="J5" s="307"/>
      <c r="K5" s="294"/>
    </row>
    <row r="6" spans="1:11" s="298" customFormat="1" x14ac:dyDescent="0.5">
      <c r="A6" s="289">
        <v>3</v>
      </c>
      <c r="B6" s="309"/>
      <c r="C6" s="296"/>
      <c r="D6" s="288"/>
      <c r="E6" s="288"/>
      <c r="F6" s="288"/>
      <c r="G6" s="292"/>
      <c r="H6" s="288">
        <f t="shared" si="0"/>
        <v>225000</v>
      </c>
      <c r="I6" s="306"/>
      <c r="J6" s="310"/>
      <c r="K6" s="294"/>
    </row>
    <row r="7" spans="1:11" s="298" customFormat="1" x14ac:dyDescent="0.2">
      <c r="A7" s="289">
        <v>4</v>
      </c>
      <c r="B7" s="294"/>
      <c r="C7" s="296"/>
      <c r="D7" s="288"/>
      <c r="E7" s="288"/>
      <c r="F7" s="288"/>
      <c r="G7" s="292"/>
      <c r="H7" s="288">
        <f t="shared" si="0"/>
        <v>225000</v>
      </c>
      <c r="I7" s="311"/>
      <c r="J7" s="311"/>
      <c r="K7" s="294"/>
    </row>
    <row r="8" spans="1:11" s="298" customFormat="1" x14ac:dyDescent="0.2">
      <c r="A8" s="289">
        <v>5</v>
      </c>
      <c r="B8" s="294"/>
      <c r="C8" s="296"/>
      <c r="D8" s="288"/>
      <c r="E8" s="288"/>
      <c r="F8" s="288"/>
      <c r="G8" s="292"/>
      <c r="H8" s="288">
        <f t="shared" si="0"/>
        <v>225000</v>
      </c>
      <c r="I8" s="297"/>
      <c r="J8" s="297"/>
      <c r="K8" s="297"/>
    </row>
    <row r="9" spans="1:11" s="298" customFormat="1" x14ac:dyDescent="0.5">
      <c r="A9" s="289">
        <v>6</v>
      </c>
      <c r="B9" s="312"/>
      <c r="C9" s="296"/>
      <c r="D9" s="288"/>
      <c r="E9" s="288"/>
      <c r="F9" s="288"/>
      <c r="G9" s="292"/>
      <c r="H9" s="288">
        <f t="shared" si="0"/>
        <v>225000</v>
      </c>
      <c r="I9" s="297"/>
      <c r="J9" s="307"/>
      <c r="K9" s="297"/>
    </row>
    <row r="10" spans="1:11" s="298" customFormat="1" x14ac:dyDescent="0.5">
      <c r="A10" s="289">
        <v>7</v>
      </c>
      <c r="B10" s="309"/>
      <c r="C10" s="296"/>
      <c r="D10" s="288"/>
      <c r="E10" s="288"/>
      <c r="F10" s="288"/>
      <c r="G10" s="292"/>
      <c r="H10" s="288">
        <f t="shared" si="0"/>
        <v>225000</v>
      </c>
      <c r="I10" s="297"/>
      <c r="J10" s="307"/>
      <c r="K10" s="297"/>
    </row>
    <row r="11" spans="1:11" s="298" customFormat="1" x14ac:dyDescent="0.5">
      <c r="A11" s="289">
        <v>8</v>
      </c>
      <c r="B11" s="294"/>
      <c r="C11" s="296"/>
      <c r="D11" s="288"/>
      <c r="E11" s="288"/>
      <c r="F11" s="288"/>
      <c r="G11" s="292"/>
      <c r="H11" s="288">
        <f t="shared" si="0"/>
        <v>225000</v>
      </c>
      <c r="I11" s="309"/>
      <c r="J11" s="307"/>
      <c r="K11" s="294"/>
    </row>
    <row r="12" spans="1:11" s="298" customFormat="1" x14ac:dyDescent="0.2">
      <c r="A12" s="289">
        <v>9</v>
      </c>
      <c r="B12" s="294"/>
      <c r="C12" s="296"/>
      <c r="D12" s="288"/>
      <c r="E12" s="288"/>
      <c r="F12" s="288"/>
      <c r="G12" s="292"/>
      <c r="H12" s="288">
        <f t="shared" si="0"/>
        <v>225000</v>
      </c>
      <c r="I12" s="297"/>
      <c r="J12" s="307"/>
      <c r="K12" s="294"/>
    </row>
    <row r="13" spans="1:11" s="298" customFormat="1" x14ac:dyDescent="0.2">
      <c r="A13" s="289">
        <v>10</v>
      </c>
      <c r="B13" s="294"/>
      <c r="C13" s="296"/>
      <c r="D13" s="288"/>
      <c r="E13" s="288"/>
      <c r="F13" s="288"/>
      <c r="G13" s="292"/>
      <c r="H13" s="288">
        <f t="shared" si="0"/>
        <v>225000</v>
      </c>
      <c r="I13" s="297"/>
      <c r="J13" s="297"/>
      <c r="K13" s="294"/>
    </row>
    <row r="14" spans="1:11" s="298" customFormat="1" x14ac:dyDescent="0.2">
      <c r="A14" s="289">
        <v>11</v>
      </c>
      <c r="B14" s="294"/>
      <c r="C14" s="296"/>
      <c r="D14" s="288"/>
      <c r="E14" s="288"/>
      <c r="F14" s="288"/>
      <c r="G14" s="292"/>
      <c r="H14" s="288">
        <f t="shared" si="0"/>
        <v>225000</v>
      </c>
      <c r="I14" s="297"/>
      <c r="J14" s="307"/>
      <c r="K14" s="294"/>
    </row>
    <row r="15" spans="1:11" s="298" customFormat="1" x14ac:dyDescent="0.2">
      <c r="A15" s="289">
        <v>12</v>
      </c>
      <c r="B15" s="294"/>
      <c r="C15" s="296"/>
      <c r="D15" s="288"/>
      <c r="E15" s="288"/>
      <c r="F15" s="288"/>
      <c r="G15" s="292"/>
      <c r="H15" s="288">
        <f t="shared" si="0"/>
        <v>225000</v>
      </c>
      <c r="I15" s="297"/>
      <c r="J15" s="297"/>
      <c r="K15" s="294"/>
    </row>
    <row r="16" spans="1:11" x14ac:dyDescent="0.5">
      <c r="A16" s="289">
        <v>13</v>
      </c>
      <c r="B16" s="290"/>
      <c r="C16" s="290"/>
      <c r="D16" s="291"/>
      <c r="E16" s="291"/>
      <c r="F16" s="291"/>
      <c r="G16" s="292"/>
      <c r="H16" s="288">
        <f t="shared" si="0"/>
        <v>225000</v>
      </c>
      <c r="I16" s="293"/>
      <c r="J16" s="293"/>
      <c r="K16" s="294"/>
    </row>
    <row r="17" spans="1:11" s="298" customFormat="1" x14ac:dyDescent="0.2">
      <c r="A17" s="289">
        <v>14</v>
      </c>
      <c r="B17" s="294"/>
      <c r="C17" s="296"/>
      <c r="D17" s="288"/>
      <c r="E17" s="288"/>
      <c r="F17" s="288"/>
      <c r="G17" s="292"/>
      <c r="H17" s="288">
        <f t="shared" si="0"/>
        <v>225000</v>
      </c>
      <c r="I17" s="297"/>
      <c r="J17" s="297"/>
      <c r="K17" s="294"/>
    </row>
    <row r="18" spans="1:11" x14ac:dyDescent="0.5">
      <c r="A18" s="289">
        <v>15</v>
      </c>
      <c r="B18" s="290"/>
      <c r="C18" s="299"/>
      <c r="D18" s="291"/>
      <c r="E18" s="291"/>
      <c r="F18" s="291"/>
      <c r="G18" s="292">
        <f t="shared" ref="G18:G34" si="1">D18+E18+F18</f>
        <v>0</v>
      </c>
      <c r="H18" s="288">
        <f t="shared" si="0"/>
        <v>225000</v>
      </c>
      <c r="I18" s="293"/>
      <c r="J18" s="293"/>
      <c r="K18" s="290"/>
    </row>
    <row r="19" spans="1:11" s="298" customFormat="1" x14ac:dyDescent="0.2">
      <c r="A19" s="289">
        <v>16</v>
      </c>
      <c r="B19" s="294"/>
      <c r="C19" s="296"/>
      <c r="D19" s="288"/>
      <c r="E19" s="288"/>
      <c r="F19" s="288"/>
      <c r="G19" s="292">
        <f t="shared" si="1"/>
        <v>0</v>
      </c>
      <c r="H19" s="288">
        <f t="shared" si="0"/>
        <v>225000</v>
      </c>
      <c r="I19" s="300"/>
      <c r="J19" s="297"/>
      <c r="K19" s="294"/>
    </row>
    <row r="20" spans="1:11" x14ac:dyDescent="0.5">
      <c r="A20" s="289"/>
      <c r="B20" s="290"/>
      <c r="C20" s="290"/>
      <c r="D20" s="291"/>
      <c r="E20" s="291"/>
      <c r="F20" s="291"/>
      <c r="G20" s="292">
        <f t="shared" si="1"/>
        <v>0</v>
      </c>
      <c r="H20" s="288">
        <f t="shared" si="0"/>
        <v>225000</v>
      </c>
      <c r="I20" s="301"/>
      <c r="J20" s="293"/>
      <c r="K20" s="290"/>
    </row>
    <row r="21" spans="1:11" x14ac:dyDescent="0.5">
      <c r="A21" s="338"/>
      <c r="B21" s="339"/>
      <c r="C21" s="340"/>
      <c r="D21" s="302"/>
      <c r="E21" s="302"/>
      <c r="F21" s="302"/>
      <c r="G21" s="292">
        <f t="shared" si="1"/>
        <v>0</v>
      </c>
      <c r="H21" s="288">
        <f t="shared" si="0"/>
        <v>225000</v>
      </c>
      <c r="I21" s="290"/>
      <c r="J21" s="290"/>
      <c r="K21" s="290"/>
    </row>
  </sheetData>
  <mergeCells count="3">
    <mergeCell ref="A1:H1"/>
    <mergeCell ref="A3:C3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งบประมาณที่ได้รับปี 69</vt:lpstr>
      <vt:lpstr>รวมงบประมาณประจำปี 2569 </vt:lpstr>
      <vt:lpstr>สรุปงบประมาณสำนักงานคณะฯ 69</vt:lpstr>
      <vt:lpstr>สรุปงบประมาณ จุล 69</vt:lpstr>
      <vt:lpstr>เดินทางจุล</vt:lpstr>
      <vt:lpstr>สรุปงบประมาณ ชีวเคมี 69</vt:lpstr>
      <vt:lpstr>ค่าเดินทางชีวเคมี</vt:lpstr>
      <vt:lpstr> สรุปงบประมาณ โภชนาการ 69</vt:lpstr>
      <vt:lpstr>ค่าเดินทางโภชนาการ</vt:lpstr>
      <vt:lpstr>สรุปงบประมาณ กายวิภาค 69</vt:lpstr>
      <vt:lpstr>เดินทางกายวิภาค</vt:lpstr>
      <vt:lpstr>สรุปงบประมาณ สรีรวิทยา 69</vt:lpstr>
      <vt:lpstr>เดินทางสรีระ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nungruethai tunkhruea</dc:creator>
  <cp:lastModifiedBy>nungruethai tunkhruea</cp:lastModifiedBy>
  <cp:lastPrinted>2025-08-19T02:40:09Z</cp:lastPrinted>
  <dcterms:created xsi:type="dcterms:W3CDTF">2024-03-18T09:16:58Z</dcterms:created>
  <dcterms:modified xsi:type="dcterms:W3CDTF">2026-08-18T09:55:10Z</dcterms:modified>
</cp:coreProperties>
</file>