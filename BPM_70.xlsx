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gruethai.tu\Desktop\งานปี 70\งบประมาณ ปี 70 วันที่ 7-8-69\"/>
    </mc:Choice>
  </mc:AlternateContent>
  <xr:revisionPtr revIDLastSave="0" documentId="13_ncr:1_{B07F0394-4DEC-41D5-A62C-4286D158BDF9}" xr6:coauthVersionLast="47" xr6:coauthVersionMax="47" xr10:uidLastSave="{00000000-0000-0000-0000-000000000000}"/>
  <bookViews>
    <workbookView xWindow="-120" yWindow="-120" windowWidth="29040" windowHeight="15720" activeTab="1" xr2:uid="{BD4C8B70-DD95-4B4A-873A-58343DC07C65}"/>
  </bookViews>
  <sheets>
    <sheet name="งบประมาณที่ได้รับปี 70" sheetId="5" r:id="rId1"/>
    <sheet name="รวมงบค่าใช้จ่ายวิทย์แพทย์70" sheetId="8" r:id="rId2"/>
    <sheet name="สรุปงบประมาณส่วนบริหารคณะฯ 70" sheetId="2" r:id="rId3"/>
    <sheet name="สรุปงบประมาณ จุล 70" sheetId="1" r:id="rId4"/>
    <sheet name="สรุปงบประมาณ ชีวเคมี 70" sheetId="3" r:id="rId5"/>
    <sheet name=" สรุปงบประมาณ โภชนาการ 70" sheetId="4" r:id="rId6"/>
    <sheet name="สรุปงบประมาณ สรีระ70" sheetId="7" r:id="rId7"/>
    <sheet name="สรุปงบประมาณ กายวิภาค 70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4" i="7"/>
  <c r="C23" i="4"/>
  <c r="C17" i="3"/>
  <c r="C29" i="1"/>
  <c r="C42" i="2"/>
  <c r="F9" i="5" l="1"/>
  <c r="G9" i="5" s="1"/>
  <c r="G8" i="5"/>
  <c r="I38" i="8" l="1"/>
  <c r="I39" i="8"/>
  <c r="I40" i="8"/>
  <c r="I60" i="8"/>
  <c r="I61" i="8"/>
  <c r="F10" i="5"/>
  <c r="C10" i="5" l="1"/>
  <c r="B10" i="5"/>
  <c r="D10" i="5" s="1"/>
  <c r="D9" i="5"/>
  <c r="D8" i="5"/>
  <c r="D7" i="5"/>
  <c r="D6" i="5"/>
  <c r="D5" i="5"/>
  <c r="D4" i="5"/>
  <c r="D78" i="8" l="1"/>
  <c r="E78" i="8"/>
  <c r="F78" i="8"/>
  <c r="G78" i="8"/>
  <c r="H78" i="8"/>
  <c r="C78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2" i="8" l="1"/>
  <c r="I78" i="8" s="1"/>
</calcChain>
</file>

<file path=xl/sharedStrings.xml><?xml version="1.0" encoding="utf-8"?>
<sst xmlns="http://schemas.openxmlformats.org/spreadsheetml/2006/main" count="259" uniqueCount="112">
  <si>
    <t>ลำดับ</t>
  </si>
  <si>
    <t>รายการ</t>
  </si>
  <si>
    <t>ชีวเคมี</t>
  </si>
  <si>
    <t>โภชนาการ</t>
  </si>
  <si>
    <t>คณะฯ</t>
  </si>
  <si>
    <t>รวมงบประมาณ</t>
  </si>
  <si>
    <t>ค่าจ้างลูกจ้างรายเดือน</t>
  </si>
  <si>
    <t>ค่าจ้างลูกจ้างรายวัน</t>
  </si>
  <si>
    <t>ค่าตอบแทนการสอน</t>
  </si>
  <si>
    <t>ค่าตอบแทนนิสิตช่วยงาน</t>
  </si>
  <si>
    <t>ค่าปฏิบัติงานนอกเวลาทำการ (OT เจ้าหน้าที่)</t>
  </si>
  <si>
    <t>ประจำตำแหน่ง</t>
  </si>
  <si>
    <t>ประกันสังคม</t>
  </si>
  <si>
    <t>ไปรษณีย์</t>
  </si>
  <si>
    <t>โทรศัพท์</t>
  </si>
  <si>
    <t>ค่าเบี้ยเลี้ยง ค่าที่พัก และค่าพาหนะ</t>
  </si>
  <si>
    <t>ค่าซ่อมแซม/ค่าซ่อมบำรุงรักษา</t>
  </si>
  <si>
    <t>ค่าใช้สอยอื่น ๆ</t>
  </si>
  <si>
    <t>วัสดุเชื้อเพลิง และหล่อลื่น</t>
  </si>
  <si>
    <t>ค่าวัสดุก่อสร้าง</t>
  </si>
  <si>
    <t>ค่าวัสดุการเกษตร</t>
  </si>
  <si>
    <t>ค่าวัสดุการศึกษา (ของสด)</t>
  </si>
  <si>
    <t>ค่าวัสดุงานบ้านงานครัว</t>
  </si>
  <si>
    <t>ค่าวัสดุไฟฟ้าและวิทยุ</t>
  </si>
  <si>
    <t>ค่าวัสดุเวชภัณฑ์ยา</t>
  </si>
  <si>
    <t>ค่าวัสดุสำนักงาน</t>
  </si>
  <si>
    <t>ค่ารถตู้</t>
  </si>
  <si>
    <t>โครงการพระราชทานปริญญาบัตร</t>
  </si>
  <si>
    <t>โครงการสหกิจศึกษา หลักสูตรจุลชีววิทยา</t>
  </si>
  <si>
    <t>โครงการฝึกปฏิบัติการโภชนาการชุมชน</t>
  </si>
  <si>
    <t>โครงการศึกษาดูงานนอกสถานที่ของนิสิต หลักสูตรโภชนาการ</t>
  </si>
  <si>
    <t xml:space="preserve">ค่าใช้จ่ายในการจัดประชุม </t>
  </si>
  <si>
    <t xml:space="preserve">โครงการประเมินคุณภาพการศึกษาเพื่อความเป็นเลิศ EdPEx </t>
  </si>
  <si>
    <t>โครงการส่งเสริมคุณธรรมและความโปร่งใสในการดำเนินงาน คณะวิทยาศาสตร์การแพทย์</t>
  </si>
  <si>
    <t>โครงการปรับปรุงแผนยุทธศาสตร์ คณะวิทยาศาสตร์การแพทย์</t>
  </si>
  <si>
    <t>โครงการส่งเสริมสุขภาพ และสานสัมพันธ์บุคลากร คณะวิทยาศาสตร์การแพทย์</t>
  </si>
  <si>
    <t>โครงการสนับสนุนการพัฒนาสมรรถนะอาจารย์มืออาชีพ</t>
  </si>
  <si>
    <t>วัสดุวิทยาศาสตร์หรือการแพทย์</t>
  </si>
  <si>
    <t xml:space="preserve">โครงการทุติยนิเทศ (9 พฤติกรรม 9 สู่ความสำเร็จ) </t>
  </si>
  <si>
    <t>ค่าวัสดุคอมพิวเตอร์</t>
  </si>
  <si>
    <t>หลักสูตร</t>
  </si>
  <si>
    <t>งบประมาณรายได้</t>
  </si>
  <si>
    <t>หลักสูตรจุลชีววิทยา</t>
  </si>
  <si>
    <t>หลักสูตรชีวเคมี</t>
  </si>
  <si>
    <t>หลักสูตรโภชนาการ</t>
  </si>
  <si>
    <t>สาขาสรีรวิทยา</t>
  </si>
  <si>
    <t>สาขากายวิภาคศาสตร์</t>
  </si>
  <si>
    <t>คณะวิทยาศาสตร์การแพทย์</t>
  </si>
  <si>
    <t>รวม</t>
  </si>
  <si>
    <t>จัดสรรงบประมาณประจำปีงบประมาณ พ.ศ. 2570</t>
  </si>
  <si>
    <t xml:space="preserve">งบประมาณรายได้ค่าธรรมเนียมนิสิต </t>
  </si>
  <si>
    <t>โครงการตรวจประเมินการประกันคุณภาพการศึกษา ระดับหลักสูตร (AUN QA) หลักสูตรชีวเคมี SO 3</t>
  </si>
  <si>
    <t>โครงการปัจฉิมนิเทศ หลักสูตรชีวเคมี SO 3</t>
  </si>
  <si>
    <t>โครงการสหกิจศึกษา หลักสูตรชีวเคมี SO 3</t>
  </si>
  <si>
    <t>โครงการบริการวิชาการชุมชน หลักสูตรชีวเคมี SO 5</t>
  </si>
  <si>
    <t>งบประมาณผลิตแพทย์</t>
  </si>
  <si>
    <t>โครงการเตรียมความพร้อมการยกระดับความปลอดภัยห้องปฏิบัติการสาขาสรีรวิทยา</t>
  </si>
  <si>
    <t>โครงการบริการวิชาการชุมชน สาขาวิชาสรีรวิทยา</t>
  </si>
  <si>
    <t>แลกเปลี่ยนเรียนรู้ สาขาวิชาสรีรวิทยา</t>
  </si>
  <si>
    <t>สรีรวิทยา</t>
  </si>
  <si>
    <t>ค่าวัสดุโฆษณาและเผยแพร่</t>
  </si>
  <si>
    <t xml:space="preserve">โครงการ Next step: Med Sci </t>
  </si>
  <si>
    <t xml:space="preserve">	โครงการผู้บริหารพบบุคลากรคณะวิทยาศาสตร์การแพทย์</t>
  </si>
  <si>
    <t>โครงการพิธีไหว้ครูและรับขวัญน้องใหม่</t>
  </si>
  <si>
    <t xml:space="preserve">โครงการรดน้ำดำหัว ประเพณีสงกรานต์ </t>
  </si>
  <si>
    <t>โครงการส่งเสริมสุขภาพจิต</t>
  </si>
  <si>
    <t>โครงการนำเสนอผลงานวิจัยของนิสิตครั้งที่ 12 (The 12 th Med-Sci Student Research)</t>
  </si>
  <si>
    <t>โครงการปฐมนิเทศนิสิตใหม่คณะวิทยาศาสตร์การแพทย์</t>
  </si>
  <si>
    <t>โครงการพัฒนาศักยภาพบุคลากรสายวิชาการ
คณะวิทยาศาสตร์การแพทย์</t>
  </si>
  <si>
    <t>โครงการพัฒนาศักยภาพสายสนับสนุน คณะวิทยาศาสตร์การแพทย์</t>
  </si>
  <si>
    <t>โครงการกีฬาสีสานสัมพันธ์นิสิตและบุคลากร คณะวิทยาศาสตร์การแพทย์</t>
  </si>
  <si>
    <t>โครงการสิริปีใหม่ รวมใจทำบุญ คณะวิทยาศาสตร์การแพทย์</t>
  </si>
  <si>
    <t>ครุภัณฑ์การศึกษา</t>
  </si>
  <si>
    <t>จุลชีววิทยา</t>
  </si>
  <si>
    <t>กายวิภาคศาสตร์</t>
  </si>
  <si>
    <t>ครุภัณฑ์คอมพิวเตอร์</t>
  </si>
  <si>
    <t xml:space="preserve">โครงการเทิดทูนกายวิทยาทานอาจารย์ใหญ่  </t>
  </si>
  <si>
    <t xml:space="preserve">โครงการจัดงานประชุมวิชาการนานาชาติ The 49th International Conference of the Anatomy Association of Thailand (AAT49) </t>
  </si>
  <si>
    <t xml:space="preserve">โครงการปัจฉิมนิเทศหลักสูตรโภชนาการ  </t>
  </si>
  <si>
    <t xml:space="preserve">โครงการตรวจประเมินประกันคุณภาพการศึกษา ระดับหลักสูตร (AUN QA) หลักสูตรโภชนาการและการกำหนดอาหาร </t>
  </si>
  <si>
    <t>โครงการให้คำปรึกษาด้านโภชนาการ</t>
  </si>
  <si>
    <t>โครงการโภชนคลินิกและโภชนบำบัดทางการแพทย์</t>
  </si>
  <si>
    <t>โครงการฝึกงานนิสิต หลักสูตรโภชนาการและการกำหนดอาหาร</t>
  </si>
  <si>
    <t>โครงการทวนสอบฝึกปฏิบัติวิชาชีพการกำหนดอาหาร</t>
  </si>
  <si>
    <t>โครงการส่งเสริมผลงานวิจัยและนวัตกรรมนิสิต หลักสูตรโภชนาการและการกำหนดอาหาร</t>
  </si>
  <si>
    <t>โครงการตรวจประเมินเพื่อการรับรองสถาบันการศึกษาที่จัดการเรียนการสอน สาขากำหนดอาหาร</t>
  </si>
  <si>
    <t xml:space="preserve">โครงการตรวจประเมินการประกันคุณภาพการศึกษา ระดับหลักสูตร (AUN QA) หลักสูตรจุลชีววิทยา </t>
  </si>
  <si>
    <t xml:space="preserve">โครงการปัจฉิมนิเทศ จุลชีววิทยา </t>
  </si>
  <si>
    <t xml:space="preserve">โครงการศึกษาดูงานนอกสถานที่ของนิสิตหลักสูตรจุลชีววิทยา </t>
  </si>
  <si>
    <t xml:space="preserve">โครงการบริการวิชาการ หลักสูตรจุลชีววิทยา 
</t>
  </si>
  <si>
    <t xml:space="preserve">โครงการส่งเสริมและพัฒนาการเรียนการสอนปรีคลินิกด้านจุลชีววิทยา </t>
  </si>
  <si>
    <t xml:space="preserve">โครงการทวนสอบเทคนิคทางจุลชีววิทยา </t>
  </si>
  <si>
    <t xml:space="preserve">โครงการอบรมมาตรฐานห้องปฏิบัติการ </t>
  </si>
  <si>
    <t xml:space="preserve">โครงการแข่งขันกีฬาบุคลากรมหาวิทยาลัยพะเยา (UP Sport Day) </t>
  </si>
  <si>
    <t>ครุภัณฑ์งานบ้านงานครัว</t>
  </si>
  <si>
    <t>ครุภัณฑ์สำนักงาน</t>
  </si>
  <si>
    <t>ค่าเช่าเครื่องถ่าย/ค่าเช่าเครื่องพิมพ์</t>
  </si>
  <si>
    <t>สมทบ AAT 49 เงินเพิ่ม</t>
  </si>
  <si>
    <t>หัก เงินสมทบ AAT 49</t>
  </si>
  <si>
    <t>เครื่องปริ้น</t>
  </si>
  <si>
    <t>ตู้กดน้ำ 1  เตาไมโครเวฟ 2</t>
  </si>
  <si>
    <t>ชุดโซฟา 1 ชุดโต๊ะพร้อมเก้าอี้ 1 โต๊ะพับ 1</t>
  </si>
  <si>
    <t>ตู้ควบคุมอุณหภูมิแบบเขย่า (Shaking Incubator ) 1  เครื่องชั่งไฟฟ้า 2 ตำแหน่ง 1</t>
  </si>
  <si>
    <t xml:space="preserve">ตู้บ่มเชื้ออุณหภูมิต่ำแบบเขย่า (Refrigerated Shaking Incubator) 1
เครื่องปั่นเหวี่ยงตกตะกอนความเร็วรอบสูงแบบตั้งโต๊ะ ไม่ควบคุมอุณหภูมิ 1
</t>
  </si>
  <si>
    <t>เครื่องคอมพิวเตอร์ตั้งโต๊ะ 4 เครื่อง</t>
  </si>
  <si>
    <t xml:space="preserve">ตู้แช่ 2 ประตู 1 
ตู้แช่ -20 องศาเซลเซียส 1 </t>
  </si>
  <si>
    <t>คณะสมทบงบประมาณในการจัดโครงการ AAT 60000</t>
  </si>
  <si>
    <t>เครื่องนึ่งฆ่าเชื้อ (Autoclave) ขนาดไม่น้อยกว่า 50 ลิตร 1
ตู้เก็บกล้องจุลทรรศน์ 3</t>
  </si>
  <si>
    <t xml:space="preserve">โครงการบริการวิชาการชุมชน หลักสูตรชีวเคมี </t>
  </si>
  <si>
    <t>โครงการสหกิจศึกษา หลักสูตรชีวเคมี</t>
  </si>
  <si>
    <t xml:space="preserve">โครงการปัจฉิมนิเทศ หลักสูตรชีวเคมี </t>
  </si>
  <si>
    <t xml:space="preserve">โครงการตรวจประเมินการประกันคุณภาพการศึกษา ระดับหลักสูตร (AUN QA) หลักสูตรชีวเคมี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</si>
</sst>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12"/>
      <color theme="1"/>
      <name val="Angsana New"/>
      <family val="1"/>
    </font>
    <font>
      <sz val="16"/>
      <color theme="1"/>
      <name val="TH SarabunPSK"/>
      <family val="2"/>
    </font>
    <font>
      <sz val="18"/>
      <name val="TH SarabunPSK"/>
      <family val="2"/>
    </font>
    <font>
      <sz val="18"/>
      <color rgb="FF00000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3" fillId="0" borderId="1" xfId="1" applyFont="1" applyBorder="1"/>
    <xf numFmtId="43" fontId="2" fillId="0" borderId="1" xfId="1" applyFont="1" applyBorder="1"/>
    <xf numFmtId="43" fontId="2" fillId="4" borderId="1" xfId="1" applyFont="1" applyFill="1" applyBorder="1"/>
    <xf numFmtId="0" fontId="4" fillId="2" borderId="1" xfId="0" applyFont="1" applyFill="1" applyBorder="1" applyAlignment="1">
      <alignment horizontal="center"/>
    </xf>
    <xf numFmtId="0" fontId="7" fillId="0" borderId="1" xfId="0" applyFont="1" applyBorder="1"/>
    <xf numFmtId="0" fontId="4" fillId="4" borderId="1" xfId="0" applyFont="1" applyFill="1" applyBorder="1" applyAlignment="1">
      <alignment horizontal="center"/>
    </xf>
    <xf numFmtId="0" fontId="7" fillId="0" borderId="0" xfId="0" applyFont="1"/>
    <xf numFmtId="43" fontId="5" fillId="0" borderId="1" xfId="1" applyFont="1" applyFill="1" applyBorder="1" applyAlignment="1">
      <alignment vertical="center"/>
    </xf>
    <xf numFmtId="43" fontId="7" fillId="0" borderId="0" xfId="1" applyFont="1" applyFill="1" applyAlignment="1">
      <alignment vertical="center"/>
    </xf>
    <xf numFmtId="43" fontId="7" fillId="0" borderId="0" xfId="1" applyFont="1" applyFill="1" applyAlignment="1">
      <alignment horizontal="right" vertical="center"/>
    </xf>
    <xf numFmtId="43" fontId="7" fillId="0" borderId="1" xfId="1" applyFont="1" applyFill="1" applyBorder="1" applyAlignment="1">
      <alignment vertical="center"/>
    </xf>
    <xf numFmtId="43" fontId="7" fillId="0" borderId="1" xfId="1" applyFont="1" applyFill="1" applyBorder="1" applyAlignment="1">
      <alignment horizontal="right" vertical="center"/>
    </xf>
    <xf numFmtId="43" fontId="7" fillId="0" borderId="1" xfId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right" vertical="center" wrapText="1"/>
    </xf>
    <xf numFmtId="0" fontId="7" fillId="0" borderId="0" xfId="2" applyFont="1" applyFill="1" applyAlignment="1">
      <alignment vertical="center" wrapText="1"/>
    </xf>
    <xf numFmtId="43" fontId="7" fillId="0" borderId="0" xfId="1" applyFont="1" applyFill="1" applyBorder="1" applyAlignment="1">
      <alignment horizontal="right" vertical="center"/>
    </xf>
    <xf numFmtId="43" fontId="7" fillId="0" borderId="0" xfId="1" applyFont="1" applyFill="1" applyBorder="1" applyAlignment="1">
      <alignment vertical="center"/>
    </xf>
    <xf numFmtId="43" fontId="5" fillId="0" borderId="1" xfId="1" applyFont="1" applyFill="1" applyBorder="1" applyAlignment="1">
      <alignment horizontal="right" vertical="center" wrapText="1"/>
    </xf>
    <xf numFmtId="43" fontId="5" fillId="0" borderId="1" xfId="1" applyFont="1" applyFill="1" applyBorder="1" applyAlignment="1">
      <alignment vertical="top"/>
    </xf>
    <xf numFmtId="43" fontId="4" fillId="0" borderId="2" xfId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vertical="center"/>
    </xf>
    <xf numFmtId="49" fontId="7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left" vertical="top" wrapText="1"/>
    </xf>
    <xf numFmtId="49" fontId="7" fillId="0" borderId="4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4" fontId="8" fillId="0" borderId="1" xfId="0" applyNumberFormat="1" applyFont="1" applyBorder="1" applyAlignment="1">
      <alignment vertical="top"/>
    </xf>
    <xf numFmtId="4" fontId="9" fillId="0" borderId="0" xfId="0" applyNumberFormat="1" applyFont="1"/>
    <xf numFmtId="0" fontId="9" fillId="0" borderId="0" xfId="0" applyFont="1"/>
    <xf numFmtId="4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10" fillId="0" borderId="0" xfId="0" applyFont="1"/>
    <xf numFmtId="0" fontId="3" fillId="0" borderId="1" xfId="0" applyFont="1" applyBorder="1"/>
    <xf numFmtId="43" fontId="3" fillId="0" borderId="1" xfId="0" applyNumberFormat="1" applyFont="1" applyBorder="1"/>
    <xf numFmtId="43" fontId="2" fillId="4" borderId="1" xfId="0" applyNumberFormat="1" applyFont="1" applyFill="1" applyBorder="1"/>
    <xf numFmtId="43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43" fontId="3" fillId="0" borderId="1" xfId="1" applyFont="1" applyFill="1" applyBorder="1" applyAlignment="1">
      <alignment horizontal="right" vertical="center"/>
    </xf>
    <xf numFmtId="43" fontId="3" fillId="0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 wrapText="1"/>
    </xf>
    <xf numFmtId="43" fontId="3" fillId="0" borderId="0" xfId="1" applyFont="1" applyFill="1" applyAlignment="1">
      <alignment vertical="center"/>
    </xf>
    <xf numFmtId="49" fontId="1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43" fontId="3" fillId="0" borderId="1" xfId="1" applyFont="1" applyFill="1" applyBorder="1" applyAlignment="1">
      <alignment horizontal="right" vertical="center" wrapText="1"/>
    </xf>
    <xf numFmtId="43" fontId="3" fillId="0" borderId="1" xfId="1" applyFont="1" applyFill="1" applyBorder="1" applyAlignment="1">
      <alignment vertical="center" wrapText="1"/>
    </xf>
    <xf numFmtId="0" fontId="3" fillId="0" borderId="0" xfId="2" applyFont="1" applyFill="1" applyAlignment="1">
      <alignment vertical="center" wrapText="1"/>
    </xf>
    <xf numFmtId="4" fontId="3" fillId="0" borderId="1" xfId="0" applyNumberFormat="1" applyFont="1" applyBorder="1" applyAlignment="1">
      <alignment horizontal="right" vertical="center"/>
    </xf>
    <xf numFmtId="43" fontId="11" fillId="0" borderId="1" xfId="1" applyFont="1" applyFill="1" applyBorder="1" applyAlignment="1">
      <alignment vertical="center"/>
    </xf>
    <xf numFmtId="49" fontId="3" fillId="0" borderId="3" xfId="0" applyNumberFormat="1" applyFont="1" applyBorder="1" applyAlignment="1">
      <alignment horizontal="left" vertical="center" wrapText="1"/>
    </xf>
    <xf numFmtId="43" fontId="11" fillId="0" borderId="1" xfId="1" applyFont="1" applyFill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43" fontId="11" fillId="0" borderId="1" xfId="1" applyFont="1" applyFill="1" applyBorder="1" applyAlignment="1">
      <alignment vertical="top"/>
    </xf>
    <xf numFmtId="4" fontId="12" fillId="0" borderId="1" xfId="0" applyNumberFormat="1" applyFont="1" applyBorder="1" applyAlignment="1">
      <alignment vertical="top"/>
    </xf>
    <xf numFmtId="43" fontId="3" fillId="0" borderId="0" xfId="1" applyFont="1" applyFill="1" applyBorder="1" applyAlignment="1">
      <alignment horizontal="right" vertical="center"/>
    </xf>
    <xf numFmtId="43" fontId="3" fillId="0" borderId="0" xfId="1" applyFont="1" applyFill="1" applyBorder="1" applyAlignment="1">
      <alignment vertical="center"/>
    </xf>
    <xf numFmtId="43" fontId="3" fillId="0" borderId="0" xfId="1" applyFont="1" applyFill="1" applyAlignment="1">
      <alignment horizontal="right" vertical="center"/>
    </xf>
    <xf numFmtId="43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mainContentPlaceHolder$RelatedGroupPlanReport1$ctl96','')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javascript:__doPostBack('ctl00$mainContentPlaceHolder$RelatedGroupPlanReport1$ctl96',''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ED8E-3CA6-4780-8EB0-76798A747142}">
  <dimension ref="A1:H10"/>
  <sheetViews>
    <sheetView zoomScale="120" zoomScaleNormal="120" workbookViewId="0">
      <selection activeCell="G8" sqref="G8:G9"/>
    </sheetView>
  </sheetViews>
  <sheetFormatPr defaultColWidth="9" defaultRowHeight="23.25" x14ac:dyDescent="0.35"/>
  <cols>
    <col min="1" max="1" width="32.25" style="10" customWidth="1"/>
    <col min="2" max="2" width="31" style="1" customWidth="1"/>
    <col min="3" max="3" width="22.5" style="1" customWidth="1"/>
    <col min="4" max="4" width="23.5" style="1" customWidth="1"/>
    <col min="5" max="5" width="14.875" style="1" customWidth="1"/>
    <col min="6" max="6" width="14.25" style="1" customWidth="1"/>
    <col min="7" max="7" width="14.125" style="1" bestFit="1" customWidth="1"/>
    <col min="8" max="8" width="23.375" style="1" customWidth="1"/>
    <col min="9" max="16384" width="9" style="1"/>
  </cols>
  <sheetData>
    <row r="1" spans="1:8" x14ac:dyDescent="0.35">
      <c r="A1" s="83" t="s">
        <v>49</v>
      </c>
      <c r="B1" s="83"/>
      <c r="C1" s="83"/>
      <c r="D1" s="83"/>
    </row>
    <row r="2" spans="1:8" x14ac:dyDescent="0.35">
      <c r="A2" s="83" t="s">
        <v>50</v>
      </c>
      <c r="B2" s="83"/>
      <c r="C2" s="83"/>
      <c r="D2" s="83"/>
    </row>
    <row r="3" spans="1:8" x14ac:dyDescent="0.35">
      <c r="A3" s="7" t="s">
        <v>40</v>
      </c>
      <c r="B3" s="2" t="s">
        <v>41</v>
      </c>
      <c r="C3" s="2" t="s">
        <v>55</v>
      </c>
      <c r="D3" s="3" t="s">
        <v>5</v>
      </c>
    </row>
    <row r="4" spans="1:8" x14ac:dyDescent="0.35">
      <c r="A4" s="8" t="s">
        <v>42</v>
      </c>
      <c r="B4" s="4">
        <v>1733650</v>
      </c>
      <c r="C4" s="4">
        <v>228070</v>
      </c>
      <c r="D4" s="5">
        <f>SUM(B4:C4)</f>
        <v>1961720</v>
      </c>
    </row>
    <row r="5" spans="1:8" x14ac:dyDescent="0.35">
      <c r="A5" s="8" t="s">
        <v>43</v>
      </c>
      <c r="B5" s="4">
        <v>616215</v>
      </c>
      <c r="C5" s="4">
        <v>252865</v>
      </c>
      <c r="D5" s="5">
        <f t="shared" ref="D5:D10" si="0">SUM(B5:C5)</f>
        <v>869080</v>
      </c>
    </row>
    <row r="6" spans="1:8" x14ac:dyDescent="0.35">
      <c r="A6" s="8" t="s">
        <v>44</v>
      </c>
      <c r="B6" s="4">
        <v>858720</v>
      </c>
      <c r="C6" s="4"/>
      <c r="D6" s="5">
        <f t="shared" si="0"/>
        <v>858720</v>
      </c>
    </row>
    <row r="7" spans="1:8" x14ac:dyDescent="0.35">
      <c r="A7" s="8" t="s">
        <v>45</v>
      </c>
      <c r="B7" s="4"/>
      <c r="C7" s="4">
        <v>649520</v>
      </c>
      <c r="D7" s="5">
        <f t="shared" si="0"/>
        <v>649520</v>
      </c>
    </row>
    <row r="8" spans="1:8" x14ac:dyDescent="0.35">
      <c r="A8" s="8" t="s">
        <v>46</v>
      </c>
      <c r="B8" s="4"/>
      <c r="C8" s="4">
        <v>694150</v>
      </c>
      <c r="D8" s="5">
        <f t="shared" si="0"/>
        <v>694150</v>
      </c>
      <c r="E8" s="4">
        <v>60000</v>
      </c>
      <c r="F8" s="46"/>
      <c r="G8" s="49">
        <f>D8+E8</f>
        <v>754150</v>
      </c>
      <c r="H8" s="46" t="s">
        <v>97</v>
      </c>
    </row>
    <row r="9" spans="1:8" x14ac:dyDescent="0.35">
      <c r="A9" s="8" t="s">
        <v>47</v>
      </c>
      <c r="B9" s="4">
        <v>1727717</v>
      </c>
      <c r="C9" s="4">
        <v>982507</v>
      </c>
      <c r="D9" s="5">
        <f t="shared" si="0"/>
        <v>2710224</v>
      </c>
      <c r="E9" s="4">
        <v>415000</v>
      </c>
      <c r="F9" s="47">
        <f>D9+E9</f>
        <v>3125224</v>
      </c>
      <c r="G9" s="49">
        <f>F9-E8</f>
        <v>3065224</v>
      </c>
      <c r="H9" s="46" t="s">
        <v>98</v>
      </c>
    </row>
    <row r="10" spans="1:8" x14ac:dyDescent="0.35">
      <c r="A10" s="9" t="s">
        <v>48</v>
      </c>
      <c r="B10" s="6">
        <f>SUM(B4:B9)</f>
        <v>4936302</v>
      </c>
      <c r="C10" s="6">
        <f>SUM(C4:C9)</f>
        <v>2807112</v>
      </c>
      <c r="D10" s="6">
        <f t="shared" si="0"/>
        <v>7743414</v>
      </c>
      <c r="E10" s="6">
        <v>412000</v>
      </c>
      <c r="F10" s="48">
        <f>D10+E10</f>
        <v>8155414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257F-EF29-4950-9B09-EA9A2607D43A}">
  <dimension ref="A1:I93"/>
  <sheetViews>
    <sheetView tabSelected="1" zoomScaleNormal="100" workbookViewId="0">
      <pane ySplit="1" topLeftCell="A2" activePane="bottomLeft" state="frozen"/>
      <selection pane="bottomLeft" activeCell="B77" sqref="B77"/>
    </sheetView>
  </sheetViews>
  <sheetFormatPr defaultColWidth="9" defaultRowHeight="23.25" x14ac:dyDescent="0.35"/>
  <cols>
    <col min="1" max="1" width="6.25" style="59" customWidth="1"/>
    <col min="2" max="2" width="45.125" style="1" customWidth="1"/>
    <col min="3" max="3" width="18.625" style="80" customWidth="1"/>
    <col min="4" max="5" width="15.625" style="61" customWidth="1"/>
    <col min="6" max="6" width="17.875" style="61" customWidth="1"/>
    <col min="7" max="8" width="17.25" style="61" customWidth="1"/>
    <col min="9" max="9" width="20.5" style="59" customWidth="1"/>
    <col min="10" max="16384" width="9" style="59"/>
  </cols>
  <sheetData>
    <row r="1" spans="1:9" s="53" customFormat="1" ht="45" customHeight="1" x14ac:dyDescent="0.2">
      <c r="A1" s="50" t="s">
        <v>0</v>
      </c>
      <c r="B1" s="50" t="s">
        <v>1</v>
      </c>
      <c r="C1" s="51" t="s">
        <v>4</v>
      </c>
      <c r="D1" s="52" t="s">
        <v>73</v>
      </c>
      <c r="E1" s="52" t="s">
        <v>2</v>
      </c>
      <c r="F1" s="52" t="s">
        <v>3</v>
      </c>
      <c r="G1" s="52" t="s">
        <v>74</v>
      </c>
      <c r="H1" s="52" t="s">
        <v>59</v>
      </c>
      <c r="I1" s="53" t="s">
        <v>5</v>
      </c>
    </row>
    <row r="2" spans="1:9" ht="24.95" customHeight="1" x14ac:dyDescent="0.35">
      <c r="A2" s="54">
        <v>1</v>
      </c>
      <c r="B2" s="55" t="s">
        <v>6</v>
      </c>
      <c r="C2" s="56">
        <v>489600</v>
      </c>
      <c r="D2" s="57"/>
      <c r="E2" s="57"/>
      <c r="F2" s="57"/>
      <c r="G2" s="58"/>
      <c r="H2" s="58"/>
      <c r="I2" s="81">
        <f>C2+D2+E2+F2+G2+H2</f>
        <v>489600</v>
      </c>
    </row>
    <row r="3" spans="1:9" ht="24.95" customHeight="1" x14ac:dyDescent="0.35">
      <c r="A3" s="54">
        <v>2</v>
      </c>
      <c r="B3" s="55" t="s">
        <v>7</v>
      </c>
      <c r="C3" s="56">
        <v>120000</v>
      </c>
      <c r="D3" s="57"/>
      <c r="E3" s="57"/>
      <c r="F3" s="57"/>
      <c r="G3" s="58"/>
      <c r="H3" s="58"/>
      <c r="I3" s="81">
        <f t="shared" ref="I3:I66" si="0">C3+D3+E3+F3+G3+H3</f>
        <v>120000</v>
      </c>
    </row>
    <row r="4" spans="1:9" ht="24.95" customHeight="1" x14ac:dyDescent="0.35">
      <c r="A4" s="54">
        <v>3</v>
      </c>
      <c r="B4" s="60" t="s">
        <v>9</v>
      </c>
      <c r="C4" s="56"/>
      <c r="D4" s="58">
        <v>20000</v>
      </c>
      <c r="E4" s="58">
        <v>4000</v>
      </c>
      <c r="F4" s="57"/>
      <c r="G4" s="58"/>
      <c r="H4" s="58"/>
      <c r="I4" s="81">
        <f t="shared" si="0"/>
        <v>24000</v>
      </c>
    </row>
    <row r="5" spans="1:9" ht="24.95" customHeight="1" x14ac:dyDescent="0.35">
      <c r="A5" s="54">
        <v>4</v>
      </c>
      <c r="B5" s="60" t="s">
        <v>8</v>
      </c>
      <c r="C5" s="56"/>
      <c r="D5" s="58">
        <v>40000</v>
      </c>
      <c r="E5" s="58">
        <v>30000</v>
      </c>
      <c r="F5" s="57">
        <v>40000</v>
      </c>
      <c r="G5" s="58"/>
      <c r="H5" s="58"/>
      <c r="I5" s="81">
        <f t="shared" si="0"/>
        <v>110000</v>
      </c>
    </row>
    <row r="6" spans="1:9" ht="24.95" customHeight="1" x14ac:dyDescent="0.35">
      <c r="A6" s="54">
        <v>5</v>
      </c>
      <c r="B6" s="60" t="s">
        <v>31</v>
      </c>
      <c r="C6" s="56">
        <v>120000</v>
      </c>
      <c r="D6" s="58">
        <v>10000</v>
      </c>
      <c r="E6" s="58">
        <v>20080</v>
      </c>
      <c r="F6" s="57"/>
      <c r="G6" s="58">
        <v>22500</v>
      </c>
      <c r="H6" s="58">
        <v>22500</v>
      </c>
      <c r="I6" s="81">
        <f t="shared" si="0"/>
        <v>195080</v>
      </c>
    </row>
    <row r="7" spans="1:9" ht="24.95" customHeight="1" x14ac:dyDescent="0.35">
      <c r="A7" s="54">
        <v>6</v>
      </c>
      <c r="B7" s="60" t="s">
        <v>10</v>
      </c>
      <c r="C7" s="56">
        <v>30000</v>
      </c>
      <c r="D7" s="58">
        <v>40000</v>
      </c>
      <c r="E7" s="58">
        <v>20000</v>
      </c>
      <c r="F7" s="57"/>
      <c r="G7" s="58">
        <v>10000</v>
      </c>
      <c r="H7" s="58">
        <v>20000</v>
      </c>
      <c r="I7" s="81">
        <f t="shared" si="0"/>
        <v>120000</v>
      </c>
    </row>
    <row r="8" spans="1:9" ht="24.95" customHeight="1" x14ac:dyDescent="0.35">
      <c r="A8" s="54">
        <v>7</v>
      </c>
      <c r="B8" s="60" t="s">
        <v>11</v>
      </c>
      <c r="C8" s="56">
        <v>186000</v>
      </c>
      <c r="D8" s="58"/>
      <c r="E8" s="58"/>
      <c r="F8" s="57"/>
      <c r="G8" s="58"/>
      <c r="H8" s="58"/>
      <c r="I8" s="81">
        <f t="shared" si="0"/>
        <v>186000</v>
      </c>
    </row>
    <row r="9" spans="1:9" ht="24.95" customHeight="1" x14ac:dyDescent="0.35">
      <c r="A9" s="54">
        <v>8</v>
      </c>
      <c r="B9" s="60" t="s">
        <v>12</v>
      </c>
      <c r="C9" s="56">
        <v>21000</v>
      </c>
      <c r="D9" s="58"/>
      <c r="E9" s="58"/>
      <c r="F9" s="57"/>
      <c r="G9" s="58"/>
      <c r="H9" s="58"/>
      <c r="I9" s="81">
        <f t="shared" si="0"/>
        <v>21000</v>
      </c>
    </row>
    <row r="10" spans="1:9" ht="24.95" customHeight="1" x14ac:dyDescent="0.35">
      <c r="A10" s="54">
        <v>9</v>
      </c>
      <c r="B10" s="60" t="s">
        <v>13</v>
      </c>
      <c r="C10" s="56">
        <v>20000</v>
      </c>
      <c r="D10" s="58"/>
      <c r="E10" s="58"/>
      <c r="F10" s="57"/>
      <c r="G10" s="58"/>
      <c r="H10" s="58"/>
      <c r="I10" s="81">
        <f t="shared" si="0"/>
        <v>20000</v>
      </c>
    </row>
    <row r="11" spans="1:9" ht="24.95" customHeight="1" x14ac:dyDescent="0.35">
      <c r="A11" s="54">
        <v>10</v>
      </c>
      <c r="B11" s="60" t="s">
        <v>14</v>
      </c>
      <c r="C11" s="56">
        <v>10000</v>
      </c>
      <c r="D11" s="58"/>
      <c r="E11" s="58"/>
      <c r="F11" s="57"/>
      <c r="G11" s="58"/>
      <c r="H11" s="58"/>
      <c r="I11" s="81">
        <f t="shared" si="0"/>
        <v>10000</v>
      </c>
    </row>
    <row r="12" spans="1:9" ht="24.95" customHeight="1" x14ac:dyDescent="0.35">
      <c r="A12" s="54">
        <v>11</v>
      </c>
      <c r="B12" s="60" t="s">
        <v>15</v>
      </c>
      <c r="C12" s="56">
        <v>250000</v>
      </c>
      <c r="D12" s="58">
        <v>336000</v>
      </c>
      <c r="E12" s="58">
        <v>210000</v>
      </c>
      <c r="F12" s="57">
        <v>120000</v>
      </c>
      <c r="G12" s="58"/>
      <c r="H12" s="58">
        <v>225000</v>
      </c>
      <c r="I12" s="81">
        <f t="shared" si="0"/>
        <v>1141000</v>
      </c>
    </row>
    <row r="13" spans="1:9" ht="24.95" customHeight="1" x14ac:dyDescent="0.35">
      <c r="A13" s="54">
        <v>12</v>
      </c>
      <c r="B13" s="60" t="s">
        <v>16</v>
      </c>
      <c r="C13" s="56">
        <v>150000</v>
      </c>
      <c r="D13" s="58">
        <v>70000</v>
      </c>
      <c r="E13" s="58">
        <v>55000</v>
      </c>
      <c r="F13" s="57">
        <v>50000</v>
      </c>
      <c r="G13" s="58">
        <v>20000</v>
      </c>
      <c r="H13" s="58">
        <v>41020</v>
      </c>
      <c r="I13" s="81">
        <f t="shared" si="0"/>
        <v>386020</v>
      </c>
    </row>
    <row r="14" spans="1:9" ht="24.95" customHeight="1" x14ac:dyDescent="0.35">
      <c r="A14" s="54">
        <v>13</v>
      </c>
      <c r="B14" s="60" t="s">
        <v>17</v>
      </c>
      <c r="C14" s="56">
        <v>78810</v>
      </c>
      <c r="D14" s="58">
        <v>51720</v>
      </c>
      <c r="E14" s="58"/>
      <c r="F14" s="57">
        <v>5720</v>
      </c>
      <c r="G14" s="58">
        <v>34650</v>
      </c>
      <c r="H14" s="58"/>
      <c r="I14" s="81">
        <f t="shared" si="0"/>
        <v>170900</v>
      </c>
    </row>
    <row r="15" spans="1:9" ht="24.95" customHeight="1" x14ac:dyDescent="0.35">
      <c r="A15" s="54">
        <v>14</v>
      </c>
      <c r="B15" s="60" t="s">
        <v>18</v>
      </c>
      <c r="C15" s="56">
        <v>80000</v>
      </c>
      <c r="D15" s="58"/>
      <c r="E15" s="58"/>
      <c r="F15" s="57">
        <v>4000</v>
      </c>
      <c r="G15" s="58"/>
      <c r="H15" s="58"/>
      <c r="I15" s="81">
        <f t="shared" si="0"/>
        <v>84000</v>
      </c>
    </row>
    <row r="16" spans="1:9" ht="24.95" customHeight="1" x14ac:dyDescent="0.35">
      <c r="A16" s="54">
        <v>15</v>
      </c>
      <c r="B16" s="60" t="s">
        <v>37</v>
      </c>
      <c r="C16" s="56"/>
      <c r="D16" s="58">
        <v>268000</v>
      </c>
      <c r="E16" s="58"/>
      <c r="F16" s="57">
        <v>70000</v>
      </c>
      <c r="G16" s="58"/>
      <c r="H16" s="58"/>
      <c r="I16" s="81">
        <f t="shared" si="0"/>
        <v>338000</v>
      </c>
    </row>
    <row r="17" spans="1:9" ht="24.95" customHeight="1" x14ac:dyDescent="0.35">
      <c r="A17" s="54">
        <v>16</v>
      </c>
      <c r="B17" s="60" t="s">
        <v>21</v>
      </c>
      <c r="C17" s="56"/>
      <c r="D17" s="58">
        <v>30000</v>
      </c>
      <c r="E17" s="58">
        <v>50000</v>
      </c>
      <c r="F17" s="57">
        <v>100000</v>
      </c>
      <c r="G17" s="58"/>
      <c r="H17" s="58"/>
      <c r="I17" s="81">
        <f t="shared" si="0"/>
        <v>180000</v>
      </c>
    </row>
    <row r="18" spans="1:9" ht="24.95" customHeight="1" x14ac:dyDescent="0.35">
      <c r="A18" s="54">
        <v>17</v>
      </c>
      <c r="B18" s="60" t="s">
        <v>22</v>
      </c>
      <c r="C18" s="56"/>
      <c r="D18" s="58">
        <v>30000</v>
      </c>
      <c r="E18" s="58"/>
      <c r="F18" s="57">
        <v>70000</v>
      </c>
      <c r="G18" s="58">
        <v>30000</v>
      </c>
      <c r="H18" s="58">
        <v>30000</v>
      </c>
      <c r="I18" s="81">
        <f t="shared" si="0"/>
        <v>160000</v>
      </c>
    </row>
    <row r="19" spans="1:9" ht="24.95" customHeight="1" x14ac:dyDescent="0.35">
      <c r="A19" s="54">
        <v>18</v>
      </c>
      <c r="B19" s="60" t="s">
        <v>19</v>
      </c>
      <c r="C19" s="56">
        <v>10000</v>
      </c>
      <c r="D19" s="58"/>
      <c r="E19" s="58"/>
      <c r="F19" s="57"/>
      <c r="G19" s="58"/>
      <c r="H19" s="58"/>
      <c r="I19" s="81">
        <f t="shared" si="0"/>
        <v>10000</v>
      </c>
    </row>
    <row r="20" spans="1:9" ht="24.95" customHeight="1" x14ac:dyDescent="0.35">
      <c r="A20" s="54">
        <v>19</v>
      </c>
      <c r="B20" s="60" t="s">
        <v>20</v>
      </c>
      <c r="C20" s="56">
        <v>10000</v>
      </c>
      <c r="D20" s="58">
        <v>4000</v>
      </c>
      <c r="E20" s="58"/>
      <c r="F20" s="57"/>
      <c r="G20" s="58"/>
      <c r="H20" s="58"/>
      <c r="I20" s="81">
        <f t="shared" si="0"/>
        <v>14000</v>
      </c>
    </row>
    <row r="21" spans="1:9" ht="24.95" customHeight="1" x14ac:dyDescent="0.35">
      <c r="A21" s="54">
        <v>20</v>
      </c>
      <c r="B21" s="60" t="s">
        <v>23</v>
      </c>
      <c r="C21" s="56">
        <v>10000</v>
      </c>
      <c r="D21" s="58">
        <v>5000</v>
      </c>
      <c r="E21" s="58"/>
      <c r="F21" s="57"/>
      <c r="G21" s="58"/>
      <c r="H21" s="58"/>
      <c r="I21" s="81">
        <f t="shared" si="0"/>
        <v>15000</v>
      </c>
    </row>
    <row r="22" spans="1:9" ht="24.95" customHeight="1" x14ac:dyDescent="0.35">
      <c r="A22" s="54">
        <v>21</v>
      </c>
      <c r="B22" s="60" t="s">
        <v>24</v>
      </c>
      <c r="C22" s="56">
        <v>10000</v>
      </c>
      <c r="D22" s="58">
        <v>4000</v>
      </c>
      <c r="E22" s="58">
        <v>2000</v>
      </c>
      <c r="F22" s="57">
        <v>1000</v>
      </c>
      <c r="G22" s="58">
        <v>2000</v>
      </c>
      <c r="H22" s="58">
        <v>1000</v>
      </c>
      <c r="I22" s="81">
        <f t="shared" si="0"/>
        <v>20000</v>
      </c>
    </row>
    <row r="23" spans="1:9" ht="24.95" customHeight="1" x14ac:dyDescent="0.35">
      <c r="A23" s="54">
        <v>22</v>
      </c>
      <c r="B23" s="60" t="s">
        <v>25</v>
      </c>
      <c r="C23" s="56">
        <v>50000</v>
      </c>
      <c r="D23" s="61">
        <v>75000</v>
      </c>
      <c r="E23" s="58">
        <v>20000</v>
      </c>
      <c r="F23" s="57">
        <v>20000</v>
      </c>
      <c r="G23" s="58">
        <v>15000</v>
      </c>
      <c r="H23" s="58">
        <v>50000</v>
      </c>
      <c r="I23" s="81">
        <f t="shared" si="0"/>
        <v>230000</v>
      </c>
    </row>
    <row r="24" spans="1:9" ht="24.95" customHeight="1" x14ac:dyDescent="0.35">
      <c r="A24" s="54">
        <v>23</v>
      </c>
      <c r="B24" s="60" t="s">
        <v>39</v>
      </c>
      <c r="C24" s="56">
        <v>10000</v>
      </c>
      <c r="D24" s="58"/>
      <c r="E24" s="58"/>
      <c r="F24" s="57"/>
      <c r="G24" s="58"/>
      <c r="H24" s="58"/>
      <c r="I24" s="81">
        <f t="shared" si="0"/>
        <v>10000</v>
      </c>
    </row>
    <row r="25" spans="1:9" ht="24.95" customHeight="1" x14ac:dyDescent="0.35">
      <c r="A25" s="54">
        <v>24</v>
      </c>
      <c r="B25" s="60" t="s">
        <v>60</v>
      </c>
      <c r="C25" s="56">
        <v>20000</v>
      </c>
      <c r="D25" s="58"/>
      <c r="E25" s="58"/>
      <c r="F25" s="57"/>
      <c r="G25" s="58"/>
      <c r="H25" s="58"/>
      <c r="I25" s="81">
        <f t="shared" si="0"/>
        <v>20000</v>
      </c>
    </row>
    <row r="26" spans="1:9" ht="24.95" customHeight="1" x14ac:dyDescent="0.35">
      <c r="A26" s="54">
        <v>25</v>
      </c>
      <c r="B26" s="60" t="s">
        <v>96</v>
      </c>
      <c r="C26" s="56">
        <v>45000</v>
      </c>
      <c r="D26" s="58"/>
      <c r="E26" s="58"/>
      <c r="F26" s="57"/>
      <c r="G26" s="58"/>
      <c r="H26" s="58"/>
      <c r="I26" s="81">
        <f t="shared" si="0"/>
        <v>45000</v>
      </c>
    </row>
    <row r="27" spans="1:9" ht="24.75" customHeight="1" x14ac:dyDescent="0.35">
      <c r="A27" s="54">
        <v>26</v>
      </c>
      <c r="B27" s="60" t="s">
        <v>26</v>
      </c>
      <c r="C27" s="56">
        <v>376800</v>
      </c>
      <c r="D27" s="58"/>
      <c r="E27" s="58"/>
      <c r="F27" s="57"/>
      <c r="G27" s="58"/>
      <c r="H27" s="58"/>
      <c r="I27" s="81">
        <f t="shared" si="0"/>
        <v>376800</v>
      </c>
    </row>
    <row r="28" spans="1:9" ht="24.75" customHeight="1" x14ac:dyDescent="0.35">
      <c r="A28" s="54">
        <v>27</v>
      </c>
      <c r="B28" s="60" t="s">
        <v>72</v>
      </c>
      <c r="C28" s="56"/>
      <c r="D28" s="58">
        <v>190000</v>
      </c>
      <c r="E28" s="58">
        <v>348000</v>
      </c>
      <c r="F28" s="57"/>
      <c r="G28" s="58">
        <v>325000</v>
      </c>
      <c r="H28" s="58">
        <v>80000</v>
      </c>
      <c r="I28" s="81">
        <f t="shared" si="0"/>
        <v>943000</v>
      </c>
    </row>
    <row r="29" spans="1:9" ht="24.75" customHeight="1" x14ac:dyDescent="0.35">
      <c r="A29" s="54">
        <v>28</v>
      </c>
      <c r="B29" s="60" t="s">
        <v>75</v>
      </c>
      <c r="C29" s="56"/>
      <c r="D29" s="58">
        <v>18000</v>
      </c>
      <c r="E29" s="58"/>
      <c r="F29" s="57"/>
      <c r="G29" s="58"/>
      <c r="H29" s="58">
        <v>100000</v>
      </c>
      <c r="I29" s="81">
        <f t="shared" si="0"/>
        <v>118000</v>
      </c>
    </row>
    <row r="30" spans="1:9" ht="24.75" customHeight="1" x14ac:dyDescent="0.2">
      <c r="A30" s="54">
        <v>29</v>
      </c>
      <c r="B30" s="62" t="s">
        <v>94</v>
      </c>
      <c r="C30" s="56"/>
      <c r="D30" s="58">
        <v>20000</v>
      </c>
      <c r="E30" s="58"/>
      <c r="F30" s="57"/>
      <c r="G30" s="58"/>
      <c r="H30" s="58"/>
      <c r="I30" s="81">
        <f t="shared" si="0"/>
        <v>20000</v>
      </c>
    </row>
    <row r="31" spans="1:9" ht="24.75" customHeight="1" x14ac:dyDescent="0.2">
      <c r="A31" s="54">
        <v>30</v>
      </c>
      <c r="B31" s="62" t="s">
        <v>95</v>
      </c>
      <c r="C31" s="56"/>
      <c r="D31" s="58">
        <v>30000</v>
      </c>
      <c r="E31" s="58"/>
      <c r="F31" s="57"/>
      <c r="G31" s="58"/>
      <c r="H31" s="58"/>
      <c r="I31" s="81">
        <f t="shared" si="0"/>
        <v>30000</v>
      </c>
    </row>
    <row r="32" spans="1:9" x14ac:dyDescent="0.2">
      <c r="A32" s="54">
        <v>31</v>
      </c>
      <c r="B32" s="63" t="s">
        <v>67</v>
      </c>
      <c r="C32" s="56">
        <v>30000</v>
      </c>
      <c r="D32" s="58"/>
      <c r="E32" s="58"/>
      <c r="F32" s="57"/>
      <c r="G32" s="58"/>
      <c r="H32" s="58"/>
      <c r="I32" s="81">
        <f t="shared" si="0"/>
        <v>30000</v>
      </c>
    </row>
    <row r="33" spans="1:9" ht="28.5" customHeight="1" x14ac:dyDescent="0.2">
      <c r="A33" s="54">
        <v>32</v>
      </c>
      <c r="B33" s="63" t="s">
        <v>61</v>
      </c>
      <c r="C33" s="56">
        <v>70000</v>
      </c>
      <c r="D33" s="58"/>
      <c r="E33" s="58"/>
      <c r="F33" s="57"/>
      <c r="G33" s="58"/>
      <c r="H33" s="58"/>
      <c r="I33" s="81">
        <f t="shared" si="0"/>
        <v>70000</v>
      </c>
    </row>
    <row r="34" spans="1:9" ht="30.75" customHeight="1" x14ac:dyDescent="0.2">
      <c r="A34" s="54">
        <v>33</v>
      </c>
      <c r="B34" s="64" t="s">
        <v>27</v>
      </c>
      <c r="C34" s="56">
        <v>70000</v>
      </c>
      <c r="D34" s="58"/>
      <c r="E34" s="58"/>
      <c r="F34" s="57"/>
      <c r="G34" s="58"/>
      <c r="H34" s="58"/>
      <c r="I34" s="81">
        <f t="shared" si="0"/>
        <v>70000</v>
      </c>
    </row>
    <row r="35" spans="1:9" ht="46.5" x14ac:dyDescent="0.2">
      <c r="A35" s="54">
        <v>34</v>
      </c>
      <c r="B35" s="64" t="s">
        <v>66</v>
      </c>
      <c r="C35" s="56">
        <v>25000</v>
      </c>
      <c r="D35" s="58"/>
      <c r="E35" s="58"/>
      <c r="F35" s="57"/>
      <c r="G35" s="58"/>
      <c r="H35" s="58"/>
      <c r="I35" s="81">
        <f t="shared" si="0"/>
        <v>25000</v>
      </c>
    </row>
    <row r="36" spans="1:9" ht="46.5" x14ac:dyDescent="0.2">
      <c r="A36" s="54">
        <v>35</v>
      </c>
      <c r="B36" s="65" t="s">
        <v>68</v>
      </c>
      <c r="C36" s="66">
        <v>50000</v>
      </c>
      <c r="D36" s="58"/>
      <c r="E36" s="58"/>
      <c r="F36" s="57"/>
      <c r="G36" s="56"/>
      <c r="H36" s="58"/>
      <c r="I36" s="81">
        <f t="shared" si="0"/>
        <v>50000</v>
      </c>
    </row>
    <row r="37" spans="1:9" ht="43.5" customHeight="1" x14ac:dyDescent="0.2">
      <c r="A37" s="54">
        <v>36</v>
      </c>
      <c r="B37" s="65" t="s">
        <v>32</v>
      </c>
      <c r="C37" s="56">
        <v>60000</v>
      </c>
      <c r="D37" s="67"/>
      <c r="E37" s="67"/>
      <c r="F37" s="57"/>
      <c r="G37" s="58"/>
      <c r="H37" s="58"/>
      <c r="I37" s="81">
        <f t="shared" si="0"/>
        <v>60000</v>
      </c>
    </row>
    <row r="38" spans="1:9" ht="46.5" x14ac:dyDescent="0.2">
      <c r="A38" s="54">
        <v>37</v>
      </c>
      <c r="B38" s="64" t="s">
        <v>33</v>
      </c>
      <c r="C38" s="56">
        <v>10000</v>
      </c>
      <c r="D38" s="58"/>
      <c r="E38" s="58"/>
      <c r="F38" s="57"/>
      <c r="G38" s="58"/>
      <c r="H38" s="58"/>
      <c r="I38" s="81">
        <f t="shared" si="0"/>
        <v>10000</v>
      </c>
    </row>
    <row r="39" spans="1:9" ht="46.5" x14ac:dyDescent="0.2">
      <c r="A39" s="54">
        <v>38</v>
      </c>
      <c r="B39" s="64" t="s">
        <v>34</v>
      </c>
      <c r="C39" s="56">
        <v>250000</v>
      </c>
      <c r="D39" s="58"/>
      <c r="E39" s="58"/>
      <c r="F39" s="57"/>
      <c r="G39" s="58"/>
      <c r="H39" s="58"/>
      <c r="I39" s="81">
        <f t="shared" si="0"/>
        <v>250000</v>
      </c>
    </row>
    <row r="40" spans="1:9" ht="46.5" x14ac:dyDescent="0.2">
      <c r="A40" s="54">
        <v>39</v>
      </c>
      <c r="B40" s="65" t="s">
        <v>69</v>
      </c>
      <c r="C40" s="56">
        <v>90000</v>
      </c>
      <c r="D40" s="58"/>
      <c r="E40" s="58"/>
      <c r="F40" s="57"/>
      <c r="G40" s="58"/>
      <c r="H40" s="58"/>
      <c r="I40" s="81">
        <f t="shared" si="0"/>
        <v>90000</v>
      </c>
    </row>
    <row r="41" spans="1:9" ht="46.5" x14ac:dyDescent="0.2">
      <c r="A41" s="54">
        <v>40</v>
      </c>
      <c r="B41" s="65" t="s">
        <v>35</v>
      </c>
      <c r="C41" s="56">
        <v>70000</v>
      </c>
      <c r="D41" s="58"/>
      <c r="E41" s="58"/>
      <c r="F41" s="57"/>
      <c r="G41" s="58"/>
      <c r="H41" s="58"/>
      <c r="I41" s="81">
        <f t="shared" si="0"/>
        <v>70000</v>
      </c>
    </row>
    <row r="42" spans="1:9" ht="46.5" x14ac:dyDescent="0.2">
      <c r="A42" s="54">
        <v>41</v>
      </c>
      <c r="B42" s="65" t="s">
        <v>36</v>
      </c>
      <c r="C42" s="56">
        <v>25000</v>
      </c>
      <c r="D42" s="58"/>
      <c r="E42" s="58"/>
      <c r="F42" s="57"/>
      <c r="G42" s="58"/>
      <c r="H42" s="58"/>
      <c r="I42" s="81">
        <f t="shared" si="0"/>
        <v>25000</v>
      </c>
    </row>
    <row r="43" spans="1:9" ht="46.5" x14ac:dyDescent="0.2">
      <c r="A43" s="54">
        <v>42</v>
      </c>
      <c r="B43" s="65" t="s">
        <v>70</v>
      </c>
      <c r="C43" s="56">
        <v>60000</v>
      </c>
      <c r="D43" s="58"/>
      <c r="E43" s="58"/>
      <c r="F43" s="57"/>
      <c r="G43" s="58"/>
      <c r="H43" s="58"/>
      <c r="I43" s="81">
        <f t="shared" si="0"/>
        <v>60000</v>
      </c>
    </row>
    <row r="44" spans="1:9" ht="46.5" x14ac:dyDescent="0.2">
      <c r="A44" s="54">
        <v>43</v>
      </c>
      <c r="B44" s="65" t="s">
        <v>93</v>
      </c>
      <c r="C44" s="56">
        <v>15000</v>
      </c>
      <c r="D44" s="58"/>
      <c r="E44" s="58"/>
      <c r="F44" s="57"/>
      <c r="G44" s="58"/>
      <c r="H44" s="58"/>
      <c r="I44" s="81">
        <f t="shared" si="0"/>
        <v>15000</v>
      </c>
    </row>
    <row r="45" spans="1:9" ht="46.5" x14ac:dyDescent="0.2">
      <c r="A45" s="54">
        <v>44</v>
      </c>
      <c r="B45" s="65" t="s">
        <v>62</v>
      </c>
      <c r="C45" s="56">
        <v>25000</v>
      </c>
      <c r="D45" s="58"/>
      <c r="E45" s="58"/>
      <c r="F45" s="57"/>
      <c r="G45" s="58"/>
      <c r="H45" s="58"/>
      <c r="I45" s="81">
        <f t="shared" si="0"/>
        <v>25000</v>
      </c>
    </row>
    <row r="46" spans="1:9" x14ac:dyDescent="0.2">
      <c r="A46" s="54">
        <v>45</v>
      </c>
      <c r="B46" s="68" t="s">
        <v>63</v>
      </c>
      <c r="C46" s="56">
        <v>10000</v>
      </c>
      <c r="D46" s="58"/>
      <c r="E46" s="58"/>
      <c r="F46" s="57"/>
      <c r="G46" s="58"/>
      <c r="H46" s="58"/>
      <c r="I46" s="81">
        <f t="shared" si="0"/>
        <v>10000</v>
      </c>
    </row>
    <row r="47" spans="1:9" x14ac:dyDescent="0.2">
      <c r="A47" s="54">
        <v>46</v>
      </c>
      <c r="B47" s="64" t="s">
        <v>38</v>
      </c>
      <c r="C47" s="56">
        <v>50000</v>
      </c>
      <c r="D47" s="58">
        <v>15000</v>
      </c>
      <c r="E47" s="58">
        <v>10000</v>
      </c>
      <c r="F47" s="57">
        <v>14000</v>
      </c>
      <c r="G47" s="58"/>
      <c r="H47" s="58"/>
      <c r="I47" s="81">
        <f t="shared" si="0"/>
        <v>89000</v>
      </c>
    </row>
    <row r="48" spans="1:9" x14ac:dyDescent="0.2">
      <c r="A48" s="54">
        <v>47</v>
      </c>
      <c r="B48" s="64" t="s">
        <v>64</v>
      </c>
      <c r="C48" s="56">
        <v>15000</v>
      </c>
      <c r="D48" s="58"/>
      <c r="E48" s="58"/>
      <c r="F48" s="57"/>
      <c r="G48" s="58"/>
      <c r="H48" s="58"/>
      <c r="I48" s="81">
        <f t="shared" si="0"/>
        <v>15000</v>
      </c>
    </row>
    <row r="49" spans="1:9" x14ac:dyDescent="0.2">
      <c r="A49" s="54">
        <v>48</v>
      </c>
      <c r="B49" s="68" t="s">
        <v>65</v>
      </c>
      <c r="C49" s="56">
        <v>25000</v>
      </c>
      <c r="D49" s="58"/>
      <c r="E49" s="58"/>
      <c r="F49" s="57"/>
      <c r="G49" s="58"/>
      <c r="H49" s="58"/>
      <c r="I49" s="81">
        <f t="shared" si="0"/>
        <v>25000</v>
      </c>
    </row>
    <row r="50" spans="1:9" ht="46.5" x14ac:dyDescent="0.2">
      <c r="A50" s="54">
        <v>49</v>
      </c>
      <c r="B50" s="63" t="s">
        <v>71</v>
      </c>
      <c r="C50" s="69">
        <v>15000</v>
      </c>
      <c r="D50" s="58"/>
      <c r="E50" s="58"/>
      <c r="F50" s="57"/>
      <c r="G50" s="58"/>
      <c r="H50" s="58"/>
      <c r="I50" s="81">
        <f t="shared" si="0"/>
        <v>15000</v>
      </c>
    </row>
    <row r="51" spans="1:9" ht="46.5" x14ac:dyDescent="0.2">
      <c r="A51" s="54">
        <v>50</v>
      </c>
      <c r="B51" s="62" t="s">
        <v>56</v>
      </c>
      <c r="C51" s="69"/>
      <c r="D51" s="58"/>
      <c r="E51" s="58"/>
      <c r="F51" s="57"/>
      <c r="G51" s="58"/>
      <c r="H51" s="70">
        <v>20000</v>
      </c>
      <c r="I51" s="81">
        <f t="shared" si="0"/>
        <v>20000</v>
      </c>
    </row>
    <row r="52" spans="1:9" x14ac:dyDescent="0.2">
      <c r="A52" s="54">
        <v>51</v>
      </c>
      <c r="B52" s="62" t="s">
        <v>57</v>
      </c>
      <c r="C52" s="69"/>
      <c r="D52" s="58"/>
      <c r="E52" s="58"/>
      <c r="F52" s="57"/>
      <c r="G52" s="58"/>
      <c r="H52" s="70">
        <v>30000</v>
      </c>
      <c r="I52" s="81">
        <f t="shared" si="0"/>
        <v>30000</v>
      </c>
    </row>
    <row r="53" spans="1:9" x14ac:dyDescent="0.2">
      <c r="A53" s="54">
        <v>52</v>
      </c>
      <c r="B53" s="65" t="s">
        <v>58</v>
      </c>
      <c r="C53" s="69"/>
      <c r="D53" s="58"/>
      <c r="E53" s="58"/>
      <c r="F53" s="57"/>
      <c r="G53" s="58"/>
      <c r="H53" s="70">
        <v>30000</v>
      </c>
      <c r="I53" s="81">
        <f t="shared" si="0"/>
        <v>30000</v>
      </c>
    </row>
    <row r="54" spans="1:9" ht="46.5" x14ac:dyDescent="0.2">
      <c r="A54" s="54">
        <v>53</v>
      </c>
      <c r="B54" s="71" t="s">
        <v>111</v>
      </c>
      <c r="C54" s="69"/>
      <c r="D54" s="58"/>
      <c r="E54" s="72">
        <v>15000</v>
      </c>
      <c r="F54" s="57"/>
      <c r="G54" s="58"/>
      <c r="H54" s="58"/>
      <c r="I54" s="81">
        <f t="shared" si="0"/>
        <v>15000</v>
      </c>
    </row>
    <row r="55" spans="1:9" x14ac:dyDescent="0.2">
      <c r="A55" s="54">
        <v>54</v>
      </c>
      <c r="B55" s="71" t="s">
        <v>110</v>
      </c>
      <c r="C55" s="69"/>
      <c r="D55" s="58"/>
      <c r="E55" s="72">
        <v>10000</v>
      </c>
      <c r="F55" s="57"/>
      <c r="G55" s="58"/>
      <c r="H55" s="58"/>
      <c r="I55" s="81">
        <f t="shared" si="0"/>
        <v>10000</v>
      </c>
    </row>
    <row r="56" spans="1:9" x14ac:dyDescent="0.2">
      <c r="A56" s="54">
        <v>55</v>
      </c>
      <c r="B56" s="73" t="s">
        <v>109</v>
      </c>
      <c r="C56" s="69"/>
      <c r="D56" s="58"/>
      <c r="E56" s="72">
        <v>60000</v>
      </c>
      <c r="F56" s="57"/>
      <c r="G56" s="58"/>
      <c r="H56" s="58"/>
      <c r="I56" s="81">
        <f t="shared" si="0"/>
        <v>60000</v>
      </c>
    </row>
    <row r="57" spans="1:9" x14ac:dyDescent="0.2">
      <c r="A57" s="54">
        <v>56</v>
      </c>
      <c r="B57" s="74" t="s">
        <v>108</v>
      </c>
      <c r="C57" s="69"/>
      <c r="D57" s="58"/>
      <c r="E57" s="72">
        <v>15000</v>
      </c>
      <c r="F57" s="57"/>
      <c r="G57" s="58"/>
      <c r="H57" s="58"/>
      <c r="I57" s="81">
        <f t="shared" si="0"/>
        <v>15000</v>
      </c>
    </row>
    <row r="58" spans="1:9" x14ac:dyDescent="0.2">
      <c r="A58" s="54">
        <v>57</v>
      </c>
      <c r="B58" s="75" t="s">
        <v>76</v>
      </c>
      <c r="C58" s="69"/>
      <c r="D58" s="58"/>
      <c r="E58" s="58"/>
      <c r="F58" s="57"/>
      <c r="G58" s="76">
        <v>60000</v>
      </c>
      <c r="H58" s="58"/>
      <c r="I58" s="81">
        <f t="shared" si="0"/>
        <v>60000</v>
      </c>
    </row>
    <row r="59" spans="1:9" ht="69.75" x14ac:dyDescent="0.2">
      <c r="A59" s="54">
        <v>58</v>
      </c>
      <c r="B59" s="75" t="s">
        <v>77</v>
      </c>
      <c r="C59" s="69"/>
      <c r="D59" s="58"/>
      <c r="E59" s="58"/>
      <c r="F59" s="57"/>
      <c r="G59" s="77">
        <v>235000</v>
      </c>
      <c r="H59" s="58"/>
      <c r="I59" s="81">
        <f t="shared" si="0"/>
        <v>235000</v>
      </c>
    </row>
    <row r="60" spans="1:9" x14ac:dyDescent="0.2">
      <c r="A60" s="54">
        <v>59</v>
      </c>
      <c r="B60" s="62" t="s">
        <v>78</v>
      </c>
      <c r="C60" s="69"/>
      <c r="D60" s="58"/>
      <c r="E60" s="58"/>
      <c r="F60" s="70">
        <v>15000</v>
      </c>
      <c r="G60" s="77"/>
      <c r="H60" s="58"/>
      <c r="I60" s="81">
        <f t="shared" si="0"/>
        <v>15000</v>
      </c>
    </row>
    <row r="61" spans="1:9" ht="69.75" x14ac:dyDescent="0.2">
      <c r="A61" s="54">
        <v>60</v>
      </c>
      <c r="B61" s="62" t="s">
        <v>79</v>
      </c>
      <c r="C61" s="69"/>
      <c r="D61" s="58"/>
      <c r="E61" s="58"/>
      <c r="F61" s="70">
        <v>15000</v>
      </c>
      <c r="G61" s="77"/>
      <c r="H61" s="58"/>
      <c r="I61" s="81">
        <f t="shared" si="0"/>
        <v>15000</v>
      </c>
    </row>
    <row r="62" spans="1:9" x14ac:dyDescent="0.2">
      <c r="A62" s="54">
        <v>61</v>
      </c>
      <c r="B62" s="62" t="s">
        <v>80</v>
      </c>
      <c r="C62" s="69"/>
      <c r="D62" s="58"/>
      <c r="E62" s="58"/>
      <c r="F62" s="70">
        <v>11000</v>
      </c>
      <c r="G62" s="77"/>
      <c r="H62" s="58"/>
      <c r="I62" s="81">
        <f t="shared" si="0"/>
        <v>11000</v>
      </c>
    </row>
    <row r="63" spans="1:9" x14ac:dyDescent="0.2">
      <c r="A63" s="54">
        <v>62</v>
      </c>
      <c r="B63" s="62" t="s">
        <v>81</v>
      </c>
      <c r="C63" s="69"/>
      <c r="D63" s="58"/>
      <c r="E63" s="58"/>
      <c r="F63" s="70">
        <v>11000</v>
      </c>
      <c r="G63" s="77"/>
      <c r="H63" s="58"/>
      <c r="I63" s="81">
        <f t="shared" si="0"/>
        <v>11000</v>
      </c>
    </row>
    <row r="64" spans="1:9" ht="46.5" x14ac:dyDescent="0.2">
      <c r="A64" s="54">
        <v>63</v>
      </c>
      <c r="B64" s="62" t="s">
        <v>82</v>
      </c>
      <c r="C64" s="69"/>
      <c r="D64" s="58"/>
      <c r="E64" s="58"/>
      <c r="F64" s="70">
        <v>90000</v>
      </c>
      <c r="G64" s="77"/>
      <c r="H64" s="58"/>
      <c r="I64" s="81">
        <f t="shared" si="0"/>
        <v>90000</v>
      </c>
    </row>
    <row r="65" spans="1:9" x14ac:dyDescent="0.2">
      <c r="A65" s="54">
        <v>64</v>
      </c>
      <c r="B65" s="62" t="s">
        <v>29</v>
      </c>
      <c r="C65" s="69"/>
      <c r="D65" s="58"/>
      <c r="E65" s="58"/>
      <c r="F65" s="70">
        <v>50000</v>
      </c>
      <c r="G65" s="77"/>
      <c r="H65" s="58"/>
      <c r="I65" s="81">
        <f t="shared" si="0"/>
        <v>50000</v>
      </c>
    </row>
    <row r="66" spans="1:9" x14ac:dyDescent="0.2">
      <c r="A66" s="54">
        <v>65</v>
      </c>
      <c r="B66" s="62" t="s">
        <v>83</v>
      </c>
      <c r="C66" s="69"/>
      <c r="D66" s="58"/>
      <c r="E66" s="58"/>
      <c r="F66" s="70">
        <v>8000</v>
      </c>
      <c r="G66" s="77"/>
      <c r="H66" s="58"/>
      <c r="I66" s="81">
        <f t="shared" si="0"/>
        <v>8000</v>
      </c>
    </row>
    <row r="67" spans="1:9" ht="46.5" x14ac:dyDescent="0.2">
      <c r="A67" s="54">
        <v>66</v>
      </c>
      <c r="B67" s="62" t="s">
        <v>30</v>
      </c>
      <c r="C67" s="69"/>
      <c r="D67" s="58"/>
      <c r="E67" s="58"/>
      <c r="F67" s="70">
        <v>40000</v>
      </c>
      <c r="G67" s="77"/>
      <c r="H67" s="58"/>
      <c r="I67" s="81">
        <f t="shared" ref="I67:I77" si="1">C67+D67+E67+F67+G67+H67</f>
        <v>40000</v>
      </c>
    </row>
    <row r="68" spans="1:9" ht="46.5" x14ac:dyDescent="0.2">
      <c r="A68" s="54">
        <v>67</v>
      </c>
      <c r="B68" s="65" t="s">
        <v>84</v>
      </c>
      <c r="C68" s="69"/>
      <c r="D68" s="58"/>
      <c r="E68" s="58"/>
      <c r="F68" s="56">
        <v>24000</v>
      </c>
      <c r="G68" s="58"/>
      <c r="H68" s="58"/>
      <c r="I68" s="81">
        <f t="shared" si="1"/>
        <v>24000</v>
      </c>
    </row>
    <row r="69" spans="1:9" ht="69.75" x14ac:dyDescent="0.2">
      <c r="A69" s="54">
        <v>68</v>
      </c>
      <c r="B69" s="65" t="s">
        <v>85</v>
      </c>
      <c r="C69" s="69"/>
      <c r="D69" s="58"/>
      <c r="E69" s="58"/>
      <c r="F69" s="56">
        <v>100000</v>
      </c>
      <c r="G69" s="58"/>
      <c r="H69" s="58"/>
      <c r="I69" s="81">
        <f t="shared" si="1"/>
        <v>100000</v>
      </c>
    </row>
    <row r="70" spans="1:9" ht="46.5" x14ac:dyDescent="0.2">
      <c r="A70" s="54">
        <v>69</v>
      </c>
      <c r="B70" s="64" t="s">
        <v>86</v>
      </c>
      <c r="C70" s="69"/>
      <c r="D70" s="58">
        <v>20000</v>
      </c>
      <c r="E70" s="58"/>
      <c r="F70" s="57"/>
      <c r="G70" s="58"/>
      <c r="H70" s="58"/>
      <c r="I70" s="81">
        <f t="shared" si="1"/>
        <v>20000</v>
      </c>
    </row>
    <row r="71" spans="1:9" x14ac:dyDescent="0.2">
      <c r="A71" s="54">
        <v>70</v>
      </c>
      <c r="B71" s="64" t="s">
        <v>87</v>
      </c>
      <c r="C71" s="69"/>
      <c r="D71" s="58">
        <v>40000</v>
      </c>
      <c r="E71" s="58"/>
      <c r="F71" s="57"/>
      <c r="G71" s="58"/>
      <c r="H71" s="58"/>
      <c r="I71" s="81">
        <f t="shared" si="1"/>
        <v>40000</v>
      </c>
    </row>
    <row r="72" spans="1:9" x14ac:dyDescent="0.2">
      <c r="A72" s="54">
        <v>71</v>
      </c>
      <c r="B72" s="64" t="s">
        <v>28</v>
      </c>
      <c r="C72" s="69"/>
      <c r="D72" s="58">
        <v>300000</v>
      </c>
      <c r="E72" s="58"/>
      <c r="F72" s="57"/>
      <c r="G72" s="58"/>
      <c r="H72" s="58"/>
      <c r="I72" s="81">
        <f t="shared" si="1"/>
        <v>300000</v>
      </c>
    </row>
    <row r="73" spans="1:9" ht="46.5" x14ac:dyDescent="0.2">
      <c r="A73" s="54">
        <v>72</v>
      </c>
      <c r="B73" s="64" t="s">
        <v>88</v>
      </c>
      <c r="C73" s="69"/>
      <c r="D73" s="58">
        <v>180000</v>
      </c>
      <c r="E73" s="58"/>
      <c r="F73" s="57"/>
      <c r="G73" s="58"/>
      <c r="H73" s="58"/>
      <c r="I73" s="81">
        <f t="shared" si="1"/>
        <v>180000</v>
      </c>
    </row>
    <row r="74" spans="1:9" ht="46.5" x14ac:dyDescent="0.2">
      <c r="A74" s="54">
        <v>73</v>
      </c>
      <c r="B74" s="64" t="s">
        <v>89</v>
      </c>
      <c r="C74" s="56"/>
      <c r="D74" s="58">
        <v>30000</v>
      </c>
      <c r="E74" s="58"/>
      <c r="F74" s="57"/>
      <c r="G74" s="58"/>
      <c r="H74" s="58"/>
      <c r="I74" s="81">
        <f t="shared" si="1"/>
        <v>30000</v>
      </c>
    </row>
    <row r="75" spans="1:9" ht="46.5" x14ac:dyDescent="0.2">
      <c r="A75" s="54">
        <v>74</v>
      </c>
      <c r="B75" s="65" t="s">
        <v>90</v>
      </c>
      <c r="C75" s="56"/>
      <c r="D75" s="58">
        <v>25000</v>
      </c>
      <c r="E75" s="58"/>
      <c r="F75" s="57"/>
      <c r="G75" s="58"/>
      <c r="H75" s="58"/>
      <c r="I75" s="81">
        <f t="shared" si="1"/>
        <v>25000</v>
      </c>
    </row>
    <row r="76" spans="1:9" x14ac:dyDescent="0.2">
      <c r="A76" s="54">
        <v>75</v>
      </c>
      <c r="B76" s="65" t="s">
        <v>91</v>
      </c>
      <c r="C76" s="56"/>
      <c r="D76" s="58">
        <v>50000</v>
      </c>
      <c r="E76" s="58"/>
      <c r="F76" s="57"/>
      <c r="G76" s="58"/>
      <c r="H76" s="58"/>
      <c r="I76" s="81">
        <f t="shared" si="1"/>
        <v>50000</v>
      </c>
    </row>
    <row r="77" spans="1:9" x14ac:dyDescent="0.2">
      <c r="A77" s="54">
        <v>76</v>
      </c>
      <c r="B77" s="65" t="s">
        <v>92</v>
      </c>
      <c r="C77" s="56"/>
      <c r="D77" s="58">
        <v>60000</v>
      </c>
      <c r="E77" s="58"/>
      <c r="F77" s="57"/>
      <c r="G77" s="58"/>
      <c r="H77" s="58"/>
      <c r="I77" s="81">
        <f t="shared" si="1"/>
        <v>60000</v>
      </c>
    </row>
    <row r="78" spans="1:9" x14ac:dyDescent="0.2">
      <c r="A78" s="82" t="s">
        <v>5</v>
      </c>
      <c r="B78" s="82"/>
      <c r="C78" s="56">
        <f>SUM(C2:C77)</f>
        <v>3062210</v>
      </c>
      <c r="D78" s="56">
        <f t="shared" ref="D78:I78" si="2">SUM(D2:D77)</f>
        <v>1961720</v>
      </c>
      <c r="E78" s="56">
        <f t="shared" si="2"/>
        <v>869080</v>
      </c>
      <c r="F78" s="56">
        <f t="shared" si="2"/>
        <v>858720</v>
      </c>
      <c r="G78" s="56">
        <f t="shared" si="2"/>
        <v>754150</v>
      </c>
      <c r="H78" s="56">
        <f t="shared" si="2"/>
        <v>649520</v>
      </c>
      <c r="I78" s="56">
        <f t="shared" si="2"/>
        <v>8155400</v>
      </c>
    </row>
    <row r="79" spans="1:9" x14ac:dyDescent="0.35">
      <c r="C79" s="78"/>
      <c r="D79" s="79"/>
      <c r="E79" s="79"/>
      <c r="F79" s="79"/>
    </row>
    <row r="80" spans="1:9" x14ac:dyDescent="0.35">
      <c r="C80" s="78"/>
      <c r="D80" s="79"/>
      <c r="E80" s="79"/>
      <c r="F80" s="79"/>
    </row>
    <row r="81" spans="3:6" x14ac:dyDescent="0.35">
      <c r="C81" s="78"/>
      <c r="D81" s="79"/>
      <c r="E81" s="79"/>
      <c r="F81" s="79"/>
    </row>
    <row r="82" spans="3:6" x14ac:dyDescent="0.35">
      <c r="C82" s="78"/>
      <c r="D82" s="79"/>
      <c r="E82" s="79"/>
      <c r="F82" s="79"/>
    </row>
    <row r="83" spans="3:6" x14ac:dyDescent="0.35">
      <c r="C83" s="78"/>
      <c r="D83" s="79"/>
      <c r="E83" s="79"/>
      <c r="F83" s="79"/>
    </row>
    <row r="84" spans="3:6" x14ac:dyDescent="0.35">
      <c r="C84" s="78"/>
      <c r="D84" s="79"/>
      <c r="E84" s="79"/>
      <c r="F84" s="79"/>
    </row>
    <row r="85" spans="3:6" x14ac:dyDescent="0.35">
      <c r="C85" s="78"/>
      <c r="D85" s="79"/>
      <c r="E85" s="79"/>
      <c r="F85" s="79"/>
    </row>
    <row r="86" spans="3:6" x14ac:dyDescent="0.35">
      <c r="C86" s="78"/>
      <c r="D86" s="79"/>
      <c r="E86" s="79"/>
      <c r="F86" s="79"/>
    </row>
    <row r="87" spans="3:6" x14ac:dyDescent="0.35">
      <c r="C87" s="78"/>
      <c r="D87" s="79"/>
      <c r="E87" s="79"/>
      <c r="F87" s="79"/>
    </row>
    <row r="88" spans="3:6" x14ac:dyDescent="0.35">
      <c r="C88" s="78"/>
      <c r="D88" s="79"/>
      <c r="E88" s="79"/>
      <c r="F88" s="79"/>
    </row>
    <row r="89" spans="3:6" x14ac:dyDescent="0.35">
      <c r="C89" s="78"/>
      <c r="D89" s="79"/>
      <c r="E89" s="79"/>
      <c r="F89" s="79"/>
    </row>
    <row r="90" spans="3:6" x14ac:dyDescent="0.35">
      <c r="C90" s="78"/>
      <c r="D90" s="79"/>
      <c r="E90" s="79"/>
      <c r="F90" s="79"/>
    </row>
    <row r="91" spans="3:6" x14ac:dyDescent="0.35">
      <c r="C91" s="78"/>
      <c r="D91" s="79"/>
      <c r="E91" s="79"/>
      <c r="F91" s="79"/>
    </row>
    <row r="92" spans="3:6" x14ac:dyDescent="0.35">
      <c r="C92" s="78"/>
      <c r="D92" s="79"/>
      <c r="E92" s="79"/>
      <c r="F92" s="79"/>
    </row>
    <row r="93" spans="3:6" x14ac:dyDescent="0.35">
      <c r="C93" s="78"/>
      <c r="D93" s="79"/>
      <c r="E93" s="79"/>
      <c r="F93" s="79"/>
    </row>
  </sheetData>
  <mergeCells count="1">
    <mergeCell ref="A78:B78"/>
  </mergeCells>
  <hyperlinks>
    <hyperlink ref="B49" r:id="rId1" display="javascript:__doPostBack('ctl00$mainContentPlaceHolder$RelatedGroupPlanReport1$ctl96','')" xr:uid="{2E4A4117-1BF6-45A1-A781-545AFCFC54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9010-5411-4D49-9D4B-0C1F96F106DC}">
  <sheetPr>
    <tabColor rgb="FFFF0000"/>
  </sheetPr>
  <dimension ref="A1:F57"/>
  <sheetViews>
    <sheetView zoomScale="110" zoomScaleNormal="110" workbookViewId="0">
      <pane ySplit="1" topLeftCell="A2" activePane="bottomLeft" state="frozen"/>
      <selection pane="bottomLeft" activeCell="H12" sqref="H12:I12"/>
    </sheetView>
  </sheetViews>
  <sheetFormatPr defaultColWidth="9" defaultRowHeight="21" x14ac:dyDescent="0.35"/>
  <cols>
    <col min="1" max="1" width="6.25" style="29" customWidth="1"/>
    <col min="2" max="2" width="45.125" style="10" customWidth="1"/>
    <col min="3" max="3" width="18.625" style="13" customWidth="1"/>
    <col min="4" max="16384" width="9" style="29"/>
  </cols>
  <sheetData>
    <row r="1" spans="1:6" s="26" customFormat="1" ht="45" customHeight="1" x14ac:dyDescent="0.2">
      <c r="A1" s="25" t="s">
        <v>0</v>
      </c>
      <c r="B1" s="25" t="s">
        <v>1</v>
      </c>
      <c r="C1" s="23" t="s">
        <v>4</v>
      </c>
    </row>
    <row r="2" spans="1:6" ht="24.95" customHeight="1" x14ac:dyDescent="0.4">
      <c r="A2" s="27">
        <v>1</v>
      </c>
      <c r="B2" s="28" t="s">
        <v>6</v>
      </c>
      <c r="C2" s="15">
        <v>489600</v>
      </c>
      <c r="F2" s="41"/>
    </row>
    <row r="3" spans="1:6" ht="24.95" customHeight="1" x14ac:dyDescent="0.4">
      <c r="A3" s="27">
        <v>2</v>
      </c>
      <c r="B3" s="28" t="s">
        <v>7</v>
      </c>
      <c r="C3" s="15">
        <v>120000</v>
      </c>
      <c r="F3" s="42"/>
    </row>
    <row r="4" spans="1:6" ht="24.95" customHeight="1" x14ac:dyDescent="0.4">
      <c r="A4" s="27">
        <v>3</v>
      </c>
      <c r="B4" s="30" t="s">
        <v>31</v>
      </c>
      <c r="C4" s="15">
        <v>120000</v>
      </c>
      <c r="F4" s="42"/>
    </row>
    <row r="5" spans="1:6" ht="24.95" customHeight="1" x14ac:dyDescent="0.4">
      <c r="A5" s="27">
        <v>4</v>
      </c>
      <c r="B5" s="30" t="s">
        <v>10</v>
      </c>
      <c r="C5" s="15">
        <v>30000</v>
      </c>
      <c r="F5" s="42"/>
    </row>
    <row r="6" spans="1:6" ht="24.95" customHeight="1" x14ac:dyDescent="0.4">
      <c r="A6" s="27">
        <v>5</v>
      </c>
      <c r="B6" s="30" t="s">
        <v>11</v>
      </c>
      <c r="C6" s="15">
        <v>186000</v>
      </c>
      <c r="F6" s="42"/>
    </row>
    <row r="7" spans="1:6" ht="24.95" customHeight="1" x14ac:dyDescent="0.4">
      <c r="A7" s="27">
        <v>6</v>
      </c>
      <c r="B7" s="30" t="s">
        <v>12</v>
      </c>
      <c r="C7" s="15">
        <v>21000</v>
      </c>
      <c r="F7" s="42"/>
    </row>
    <row r="8" spans="1:6" ht="24.95" customHeight="1" x14ac:dyDescent="0.4">
      <c r="A8" s="27">
        <v>7</v>
      </c>
      <c r="B8" s="30" t="s">
        <v>13</v>
      </c>
      <c r="C8" s="15">
        <v>20000</v>
      </c>
      <c r="F8" s="42"/>
    </row>
    <row r="9" spans="1:6" ht="24.95" customHeight="1" x14ac:dyDescent="0.4">
      <c r="A9" s="27">
        <v>8</v>
      </c>
      <c r="B9" s="30" t="s">
        <v>14</v>
      </c>
      <c r="C9" s="15">
        <v>10000</v>
      </c>
      <c r="F9" s="42"/>
    </row>
    <row r="10" spans="1:6" ht="24.95" customHeight="1" x14ac:dyDescent="0.4">
      <c r="A10" s="27">
        <v>9</v>
      </c>
      <c r="B10" s="30" t="s">
        <v>15</v>
      </c>
      <c r="C10" s="15">
        <v>250000</v>
      </c>
      <c r="F10" s="42"/>
    </row>
    <row r="11" spans="1:6" ht="24.95" customHeight="1" x14ac:dyDescent="0.4">
      <c r="A11" s="27">
        <v>10</v>
      </c>
      <c r="B11" s="30" t="s">
        <v>16</v>
      </c>
      <c r="C11" s="15">
        <v>150000</v>
      </c>
      <c r="F11" s="42"/>
    </row>
    <row r="12" spans="1:6" ht="24.95" customHeight="1" x14ac:dyDescent="0.4">
      <c r="A12" s="27">
        <v>11</v>
      </c>
      <c r="B12" s="30" t="s">
        <v>17</v>
      </c>
      <c r="C12" s="15">
        <v>78810</v>
      </c>
      <c r="F12" s="42"/>
    </row>
    <row r="13" spans="1:6" ht="24.95" customHeight="1" x14ac:dyDescent="0.4">
      <c r="A13" s="27">
        <v>12</v>
      </c>
      <c r="B13" s="30" t="s">
        <v>18</v>
      </c>
      <c r="C13" s="15">
        <v>80000</v>
      </c>
      <c r="F13" s="42"/>
    </row>
    <row r="14" spans="1:6" ht="24.95" customHeight="1" x14ac:dyDescent="0.4">
      <c r="A14" s="27">
        <v>13</v>
      </c>
      <c r="B14" s="30" t="s">
        <v>19</v>
      </c>
      <c r="C14" s="15">
        <v>10000</v>
      </c>
      <c r="F14" s="42"/>
    </row>
    <row r="15" spans="1:6" ht="24.95" customHeight="1" x14ac:dyDescent="0.4">
      <c r="A15" s="27">
        <v>14</v>
      </c>
      <c r="B15" s="30" t="s">
        <v>20</v>
      </c>
      <c r="C15" s="15">
        <v>10000</v>
      </c>
      <c r="F15" s="42"/>
    </row>
    <row r="16" spans="1:6" ht="24.95" customHeight="1" x14ac:dyDescent="0.4">
      <c r="A16" s="27">
        <v>15</v>
      </c>
      <c r="B16" s="30" t="s">
        <v>23</v>
      </c>
      <c r="C16" s="15">
        <v>10000</v>
      </c>
      <c r="F16" s="42"/>
    </row>
    <row r="17" spans="1:6" ht="24.95" customHeight="1" x14ac:dyDescent="0.4">
      <c r="A17" s="27">
        <v>16</v>
      </c>
      <c r="B17" s="30" t="s">
        <v>24</v>
      </c>
      <c r="C17" s="15">
        <v>10000</v>
      </c>
      <c r="F17" s="42"/>
    </row>
    <row r="18" spans="1:6" ht="24.95" customHeight="1" x14ac:dyDescent="0.4">
      <c r="A18" s="27">
        <v>17</v>
      </c>
      <c r="B18" s="30" t="s">
        <v>25</v>
      </c>
      <c r="C18" s="15">
        <v>50000</v>
      </c>
      <c r="F18" s="42"/>
    </row>
    <row r="19" spans="1:6" ht="24.95" customHeight="1" x14ac:dyDescent="0.4">
      <c r="A19" s="27">
        <v>18</v>
      </c>
      <c r="B19" s="30" t="s">
        <v>39</v>
      </c>
      <c r="C19" s="15">
        <v>10000</v>
      </c>
      <c r="F19" s="42"/>
    </row>
    <row r="20" spans="1:6" ht="24.95" customHeight="1" x14ac:dyDescent="0.4">
      <c r="A20" s="27">
        <v>19</v>
      </c>
      <c r="B20" s="30" t="s">
        <v>60</v>
      </c>
      <c r="C20" s="15">
        <v>20000</v>
      </c>
      <c r="F20" s="42"/>
    </row>
    <row r="21" spans="1:6" ht="24.95" customHeight="1" x14ac:dyDescent="0.4">
      <c r="A21" s="27">
        <v>20</v>
      </c>
      <c r="B21" s="30" t="s">
        <v>96</v>
      </c>
      <c r="C21" s="15">
        <v>45000</v>
      </c>
      <c r="F21" s="42"/>
    </row>
    <row r="22" spans="1:6" ht="24.75" customHeight="1" x14ac:dyDescent="0.35">
      <c r="A22" s="27">
        <v>21</v>
      </c>
      <c r="B22" s="30" t="s">
        <v>26</v>
      </c>
      <c r="C22" s="15">
        <v>376800</v>
      </c>
    </row>
    <row r="23" spans="1:6" x14ac:dyDescent="0.2">
      <c r="A23" s="27">
        <v>22</v>
      </c>
      <c r="B23" s="32" t="s">
        <v>67</v>
      </c>
      <c r="C23" s="15">
        <v>30000</v>
      </c>
    </row>
    <row r="24" spans="1:6" ht="28.5" customHeight="1" x14ac:dyDescent="0.2">
      <c r="A24" s="27">
        <v>23</v>
      </c>
      <c r="B24" s="32" t="s">
        <v>61</v>
      </c>
      <c r="C24" s="15">
        <v>70000</v>
      </c>
    </row>
    <row r="25" spans="1:6" ht="30.75" customHeight="1" x14ac:dyDescent="0.2">
      <c r="A25" s="27">
        <v>24</v>
      </c>
      <c r="B25" s="33" t="s">
        <v>27</v>
      </c>
      <c r="C25" s="15">
        <v>70000</v>
      </c>
    </row>
    <row r="26" spans="1:6" ht="42" x14ac:dyDescent="0.4">
      <c r="A26" s="27">
        <v>25</v>
      </c>
      <c r="B26" s="33" t="s">
        <v>66</v>
      </c>
      <c r="C26" s="15">
        <v>25000</v>
      </c>
      <c r="F26" s="41"/>
    </row>
    <row r="27" spans="1:6" ht="42" x14ac:dyDescent="0.4">
      <c r="A27" s="27">
        <v>26</v>
      </c>
      <c r="B27" s="34" t="s">
        <v>68</v>
      </c>
      <c r="C27" s="17">
        <v>50000</v>
      </c>
      <c r="F27" s="41"/>
    </row>
    <row r="28" spans="1:6" ht="27.75" customHeight="1" x14ac:dyDescent="0.4">
      <c r="A28" s="27">
        <v>27</v>
      </c>
      <c r="B28" s="34" t="s">
        <v>32</v>
      </c>
      <c r="C28" s="15">
        <v>60000</v>
      </c>
      <c r="F28" s="41"/>
    </row>
    <row r="29" spans="1:6" ht="42" x14ac:dyDescent="0.4">
      <c r="A29" s="27">
        <v>28</v>
      </c>
      <c r="B29" s="33" t="s">
        <v>33</v>
      </c>
      <c r="C29" s="15">
        <v>10000</v>
      </c>
      <c r="F29" s="41"/>
    </row>
    <row r="30" spans="1:6" x14ac:dyDescent="0.4">
      <c r="A30" s="27">
        <v>29</v>
      </c>
      <c r="B30" s="33" t="s">
        <v>34</v>
      </c>
      <c r="C30" s="15">
        <v>250000</v>
      </c>
      <c r="F30" s="41"/>
    </row>
    <row r="31" spans="1:6" ht="42" x14ac:dyDescent="0.4">
      <c r="A31" s="27">
        <v>30</v>
      </c>
      <c r="B31" s="34" t="s">
        <v>69</v>
      </c>
      <c r="C31" s="15">
        <v>90000</v>
      </c>
      <c r="F31" s="41"/>
    </row>
    <row r="32" spans="1:6" ht="42" x14ac:dyDescent="0.4">
      <c r="A32" s="27">
        <v>31</v>
      </c>
      <c r="B32" s="34" t="s">
        <v>35</v>
      </c>
      <c r="C32" s="15">
        <v>70000</v>
      </c>
      <c r="F32" s="41"/>
    </row>
    <row r="33" spans="1:6" x14ac:dyDescent="0.4">
      <c r="A33" s="27">
        <v>32</v>
      </c>
      <c r="B33" s="34" t="s">
        <v>36</v>
      </c>
      <c r="C33" s="15">
        <v>25000</v>
      </c>
      <c r="F33" s="41"/>
    </row>
    <row r="34" spans="1:6" ht="42" x14ac:dyDescent="0.4">
      <c r="A34" s="27">
        <v>33</v>
      </c>
      <c r="B34" s="34" t="s">
        <v>70</v>
      </c>
      <c r="C34" s="15">
        <v>60000</v>
      </c>
      <c r="F34" s="41"/>
    </row>
    <row r="35" spans="1:6" ht="42" x14ac:dyDescent="0.4">
      <c r="A35" s="27">
        <v>34</v>
      </c>
      <c r="B35" s="34" t="s">
        <v>93</v>
      </c>
      <c r="C35" s="15">
        <v>15000</v>
      </c>
      <c r="F35" s="41"/>
    </row>
    <row r="36" spans="1:6" x14ac:dyDescent="0.4">
      <c r="A36" s="27">
        <v>35</v>
      </c>
      <c r="B36" s="34" t="s">
        <v>62</v>
      </c>
      <c r="C36" s="15">
        <v>25000</v>
      </c>
      <c r="F36" s="41"/>
    </row>
    <row r="37" spans="1:6" x14ac:dyDescent="0.4">
      <c r="A37" s="27">
        <v>36</v>
      </c>
      <c r="B37" s="18" t="s">
        <v>63</v>
      </c>
      <c r="C37" s="15">
        <v>10000</v>
      </c>
      <c r="F37" s="41"/>
    </row>
    <row r="38" spans="1:6" x14ac:dyDescent="0.4">
      <c r="A38" s="27">
        <v>37</v>
      </c>
      <c r="B38" s="33" t="s">
        <v>38</v>
      </c>
      <c r="C38" s="15">
        <v>50000</v>
      </c>
      <c r="F38" s="41"/>
    </row>
    <row r="39" spans="1:6" x14ac:dyDescent="0.4">
      <c r="A39" s="27">
        <v>38</v>
      </c>
      <c r="B39" s="33" t="s">
        <v>64</v>
      </c>
      <c r="C39" s="15">
        <v>15000</v>
      </c>
      <c r="F39" s="41"/>
    </row>
    <row r="40" spans="1:6" x14ac:dyDescent="0.4">
      <c r="A40" s="27">
        <v>39</v>
      </c>
      <c r="B40" s="18" t="s">
        <v>65</v>
      </c>
      <c r="C40" s="15">
        <v>25000</v>
      </c>
      <c r="F40" s="41"/>
    </row>
    <row r="41" spans="1:6" x14ac:dyDescent="0.4">
      <c r="A41" s="27">
        <v>40</v>
      </c>
      <c r="B41" s="32" t="s">
        <v>71</v>
      </c>
      <c r="C41" s="35">
        <v>15000</v>
      </c>
      <c r="F41" s="41"/>
    </row>
    <row r="42" spans="1:6" x14ac:dyDescent="0.2">
      <c r="A42" s="84" t="s">
        <v>5</v>
      </c>
      <c r="B42" s="84"/>
      <c r="C42" s="15">
        <f>SUM(C2:C41)</f>
        <v>3062210</v>
      </c>
    </row>
    <row r="43" spans="1:6" x14ac:dyDescent="0.35">
      <c r="C43" s="19"/>
    </row>
    <row r="44" spans="1:6" x14ac:dyDescent="0.35">
      <c r="C44" s="19"/>
    </row>
    <row r="45" spans="1:6" x14ac:dyDescent="0.35">
      <c r="C45" s="19"/>
    </row>
    <row r="46" spans="1:6" x14ac:dyDescent="0.35">
      <c r="C46" s="19"/>
    </row>
    <row r="47" spans="1:6" x14ac:dyDescent="0.35">
      <c r="C47" s="19"/>
    </row>
    <row r="48" spans="1:6" x14ac:dyDescent="0.35">
      <c r="C48" s="19"/>
    </row>
    <row r="49" spans="3:3" x14ac:dyDescent="0.35">
      <c r="C49" s="19"/>
    </row>
    <row r="50" spans="3:3" x14ac:dyDescent="0.35">
      <c r="C50" s="19"/>
    </row>
    <row r="51" spans="3:3" x14ac:dyDescent="0.35">
      <c r="C51" s="19"/>
    </row>
    <row r="52" spans="3:3" x14ac:dyDescent="0.35">
      <c r="C52" s="19"/>
    </row>
    <row r="53" spans="3:3" x14ac:dyDescent="0.35">
      <c r="C53" s="19"/>
    </row>
    <row r="54" spans="3:3" x14ac:dyDescent="0.35">
      <c r="C54" s="19"/>
    </row>
    <row r="55" spans="3:3" x14ac:dyDescent="0.35">
      <c r="C55" s="19"/>
    </row>
    <row r="56" spans="3:3" x14ac:dyDescent="0.35">
      <c r="C56" s="19"/>
    </row>
    <row r="57" spans="3:3" x14ac:dyDescent="0.35">
      <c r="C57" s="19"/>
    </row>
  </sheetData>
  <mergeCells count="1">
    <mergeCell ref="A42:B42"/>
  </mergeCells>
  <hyperlinks>
    <hyperlink ref="B40" r:id="rId1" display="javascript:__doPostBack('ctl00$mainContentPlaceHolder$RelatedGroupPlanReport1$ctl96','')" xr:uid="{F2BE6577-4EC6-4D95-8D25-20CAE446DED1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983D-C89A-4827-AE6D-70F7DD99EF18}">
  <sheetPr>
    <tabColor rgb="FFFF0000"/>
  </sheetPr>
  <dimension ref="A1:F44"/>
  <sheetViews>
    <sheetView topLeftCell="A10" zoomScale="90" zoomScaleNormal="90" workbookViewId="0">
      <selection activeCell="D21" sqref="D21"/>
    </sheetView>
  </sheetViews>
  <sheetFormatPr defaultColWidth="9" defaultRowHeight="21" x14ac:dyDescent="0.35"/>
  <cols>
    <col min="1" max="1" width="6.25" style="29" customWidth="1"/>
    <col min="2" max="2" width="45.125" style="10" customWidth="1"/>
    <col min="3" max="3" width="19.625" style="12" customWidth="1"/>
    <col min="4" max="4" width="78.625" style="29" customWidth="1"/>
    <col min="5" max="16384" width="9" style="29"/>
  </cols>
  <sheetData>
    <row r="1" spans="1:6" s="26" customFormat="1" ht="45" customHeight="1" x14ac:dyDescent="0.2">
      <c r="A1" s="25" t="s">
        <v>0</v>
      </c>
      <c r="B1" s="25" t="s">
        <v>1</v>
      </c>
      <c r="C1" s="24" t="s">
        <v>73</v>
      </c>
    </row>
    <row r="2" spans="1:6" ht="24.95" customHeight="1" x14ac:dyDescent="0.4">
      <c r="A2" s="27">
        <v>1</v>
      </c>
      <c r="B2" s="30" t="s">
        <v>9</v>
      </c>
      <c r="C2" s="14">
        <v>20000</v>
      </c>
      <c r="F2" s="42"/>
    </row>
    <row r="3" spans="1:6" ht="24.95" customHeight="1" x14ac:dyDescent="0.4">
      <c r="A3" s="27">
        <v>2</v>
      </c>
      <c r="B3" s="30" t="s">
        <v>8</v>
      </c>
      <c r="C3" s="14">
        <v>40000</v>
      </c>
      <c r="F3" s="42"/>
    </row>
    <row r="4" spans="1:6" ht="24.95" customHeight="1" x14ac:dyDescent="0.4">
      <c r="A4" s="27">
        <v>3</v>
      </c>
      <c r="B4" s="30" t="s">
        <v>31</v>
      </c>
      <c r="C4" s="14">
        <v>10000</v>
      </c>
      <c r="F4" s="42"/>
    </row>
    <row r="5" spans="1:6" ht="24.95" customHeight="1" x14ac:dyDescent="0.4">
      <c r="A5" s="27">
        <v>4</v>
      </c>
      <c r="B5" s="30" t="s">
        <v>10</v>
      </c>
      <c r="C5" s="14">
        <v>40000</v>
      </c>
      <c r="F5" s="42"/>
    </row>
    <row r="6" spans="1:6" ht="24.95" customHeight="1" x14ac:dyDescent="0.4">
      <c r="A6" s="27">
        <v>5</v>
      </c>
      <c r="B6" s="30" t="s">
        <v>15</v>
      </c>
      <c r="C6" s="14">
        <v>336000</v>
      </c>
      <c r="F6" s="42"/>
    </row>
    <row r="7" spans="1:6" ht="24.95" customHeight="1" x14ac:dyDescent="0.4">
      <c r="A7" s="27">
        <v>6</v>
      </c>
      <c r="B7" s="30" t="s">
        <v>16</v>
      </c>
      <c r="C7" s="14">
        <v>70000</v>
      </c>
      <c r="F7" s="42"/>
    </row>
    <row r="8" spans="1:6" ht="24.95" customHeight="1" x14ac:dyDescent="0.4">
      <c r="A8" s="27">
        <v>7</v>
      </c>
      <c r="B8" s="30" t="s">
        <v>17</v>
      </c>
      <c r="C8" s="14">
        <v>51720</v>
      </c>
      <c r="F8" s="42"/>
    </row>
    <row r="9" spans="1:6" ht="24.95" customHeight="1" x14ac:dyDescent="0.4">
      <c r="A9" s="27">
        <v>8</v>
      </c>
      <c r="B9" s="30" t="s">
        <v>37</v>
      </c>
      <c r="C9" s="14">
        <v>268000</v>
      </c>
      <c r="F9" s="42"/>
    </row>
    <row r="10" spans="1:6" ht="24.95" customHeight="1" x14ac:dyDescent="0.4">
      <c r="A10" s="27">
        <v>9</v>
      </c>
      <c r="B10" s="30" t="s">
        <v>21</v>
      </c>
      <c r="C10" s="14">
        <v>30000</v>
      </c>
      <c r="F10" s="42"/>
    </row>
    <row r="11" spans="1:6" ht="24.95" customHeight="1" x14ac:dyDescent="0.4">
      <c r="A11" s="27">
        <v>10</v>
      </c>
      <c r="B11" s="30" t="s">
        <v>22</v>
      </c>
      <c r="C11" s="14">
        <v>30000</v>
      </c>
      <c r="F11" s="42"/>
    </row>
    <row r="12" spans="1:6" ht="24.95" customHeight="1" x14ac:dyDescent="0.4">
      <c r="A12" s="27">
        <v>11</v>
      </c>
      <c r="B12" s="30" t="s">
        <v>20</v>
      </c>
      <c r="C12" s="14">
        <v>4000</v>
      </c>
      <c r="F12" s="42"/>
    </row>
    <row r="13" spans="1:6" ht="24.95" customHeight="1" x14ac:dyDescent="0.4">
      <c r="A13" s="27">
        <v>12</v>
      </c>
      <c r="B13" s="30" t="s">
        <v>23</v>
      </c>
      <c r="C13" s="14">
        <v>5000</v>
      </c>
      <c r="F13" s="42"/>
    </row>
    <row r="14" spans="1:6" ht="24.95" customHeight="1" x14ac:dyDescent="0.4">
      <c r="A14" s="27">
        <v>13</v>
      </c>
      <c r="B14" s="30" t="s">
        <v>24</v>
      </c>
      <c r="C14" s="14">
        <v>4000</v>
      </c>
      <c r="F14" s="42"/>
    </row>
    <row r="15" spans="1:6" ht="24.95" customHeight="1" x14ac:dyDescent="0.4">
      <c r="A15" s="27">
        <v>14</v>
      </c>
      <c r="B15" s="30" t="s">
        <v>25</v>
      </c>
      <c r="C15" s="14">
        <v>75000</v>
      </c>
      <c r="F15" s="42"/>
    </row>
    <row r="16" spans="1:6" ht="24.75" customHeight="1" x14ac:dyDescent="0.35">
      <c r="A16" s="27">
        <v>15</v>
      </c>
      <c r="B16" s="30" t="s">
        <v>72</v>
      </c>
      <c r="C16" s="14">
        <v>190000</v>
      </c>
      <c r="D16" s="29" t="s">
        <v>102</v>
      </c>
    </row>
    <row r="17" spans="1:6" ht="24.75" customHeight="1" x14ac:dyDescent="0.35">
      <c r="A17" s="27">
        <v>16</v>
      </c>
      <c r="B17" s="30" t="s">
        <v>75</v>
      </c>
      <c r="C17" s="14">
        <v>18000</v>
      </c>
      <c r="D17" s="29" t="s">
        <v>99</v>
      </c>
    </row>
    <row r="18" spans="1:6" ht="24.75" customHeight="1" x14ac:dyDescent="0.2">
      <c r="A18" s="27">
        <v>17</v>
      </c>
      <c r="B18" s="31" t="s">
        <v>94</v>
      </c>
      <c r="C18" s="14">
        <v>20000</v>
      </c>
      <c r="D18" s="29" t="s">
        <v>100</v>
      </c>
    </row>
    <row r="19" spans="1:6" ht="24.75" customHeight="1" x14ac:dyDescent="0.2">
      <c r="A19" s="27">
        <v>18</v>
      </c>
      <c r="B19" s="31" t="s">
        <v>95</v>
      </c>
      <c r="C19" s="14">
        <v>30000</v>
      </c>
      <c r="D19" s="29" t="s">
        <v>101</v>
      </c>
    </row>
    <row r="20" spans="1:6" x14ac:dyDescent="0.4">
      <c r="A20" s="27">
        <v>19</v>
      </c>
      <c r="B20" s="33" t="s">
        <v>38</v>
      </c>
      <c r="C20" s="14">
        <v>15000</v>
      </c>
      <c r="F20" s="41"/>
    </row>
    <row r="21" spans="1:6" ht="42" x14ac:dyDescent="0.2">
      <c r="A21" s="27">
        <v>20</v>
      </c>
      <c r="B21" s="33" t="s">
        <v>86</v>
      </c>
      <c r="C21" s="14">
        <v>20000</v>
      </c>
    </row>
    <row r="22" spans="1:6" x14ac:dyDescent="0.2">
      <c r="A22" s="27">
        <v>21</v>
      </c>
      <c r="B22" s="33" t="s">
        <v>87</v>
      </c>
      <c r="C22" s="14">
        <v>40000</v>
      </c>
    </row>
    <row r="23" spans="1:6" x14ac:dyDescent="0.2">
      <c r="A23" s="27">
        <v>22</v>
      </c>
      <c r="B23" s="33" t="s">
        <v>28</v>
      </c>
      <c r="C23" s="14">
        <v>300000</v>
      </c>
    </row>
    <row r="24" spans="1:6" x14ac:dyDescent="0.2">
      <c r="A24" s="27">
        <v>23</v>
      </c>
      <c r="B24" s="33" t="s">
        <v>88</v>
      </c>
      <c r="C24" s="14">
        <v>180000</v>
      </c>
    </row>
    <row r="25" spans="1:6" ht="42" x14ac:dyDescent="0.2">
      <c r="A25" s="27">
        <v>24</v>
      </c>
      <c r="B25" s="33" t="s">
        <v>89</v>
      </c>
      <c r="C25" s="14">
        <v>30000</v>
      </c>
    </row>
    <row r="26" spans="1:6" ht="42" x14ac:dyDescent="0.2">
      <c r="A26" s="27">
        <v>25</v>
      </c>
      <c r="B26" s="34" t="s">
        <v>90</v>
      </c>
      <c r="C26" s="14">
        <v>25000</v>
      </c>
    </row>
    <row r="27" spans="1:6" x14ac:dyDescent="0.2">
      <c r="A27" s="27">
        <v>26</v>
      </c>
      <c r="B27" s="34" t="s">
        <v>91</v>
      </c>
      <c r="C27" s="14">
        <v>50000</v>
      </c>
    </row>
    <row r="28" spans="1:6" x14ac:dyDescent="0.2">
      <c r="A28" s="27">
        <v>27</v>
      </c>
      <c r="B28" s="34" t="s">
        <v>92</v>
      </c>
      <c r="C28" s="14">
        <v>60000</v>
      </c>
    </row>
    <row r="29" spans="1:6" x14ac:dyDescent="0.2">
      <c r="A29" s="84" t="s">
        <v>5</v>
      </c>
      <c r="B29" s="84"/>
      <c r="C29" s="15">
        <f>SUM(C2:C28)</f>
        <v>1961720</v>
      </c>
    </row>
    <row r="30" spans="1:6" x14ac:dyDescent="0.35">
      <c r="C30" s="20"/>
    </row>
    <row r="31" spans="1:6" x14ac:dyDescent="0.35">
      <c r="C31" s="20"/>
    </row>
    <row r="32" spans="1:6" x14ac:dyDescent="0.35">
      <c r="C32" s="20"/>
    </row>
    <row r="33" spans="3:3" x14ac:dyDescent="0.35">
      <c r="C33" s="20"/>
    </row>
    <row r="34" spans="3:3" x14ac:dyDescent="0.35">
      <c r="C34" s="20"/>
    </row>
    <row r="35" spans="3:3" x14ac:dyDescent="0.35">
      <c r="C35" s="20"/>
    </row>
    <row r="36" spans="3:3" x14ac:dyDescent="0.35">
      <c r="C36" s="20"/>
    </row>
    <row r="37" spans="3:3" x14ac:dyDescent="0.35">
      <c r="C37" s="20"/>
    </row>
    <row r="38" spans="3:3" x14ac:dyDescent="0.35">
      <c r="C38" s="20"/>
    </row>
    <row r="39" spans="3:3" x14ac:dyDescent="0.35">
      <c r="C39" s="20"/>
    </row>
    <row r="40" spans="3:3" x14ac:dyDescent="0.35">
      <c r="C40" s="20"/>
    </row>
    <row r="41" spans="3:3" x14ac:dyDescent="0.35">
      <c r="C41" s="20"/>
    </row>
    <row r="42" spans="3:3" x14ac:dyDescent="0.35">
      <c r="C42" s="20"/>
    </row>
    <row r="43" spans="3:3" x14ac:dyDescent="0.35">
      <c r="C43" s="20"/>
    </row>
    <row r="44" spans="3:3" x14ac:dyDescent="0.35">
      <c r="C44" s="20"/>
    </row>
  </sheetData>
  <mergeCells count="1">
    <mergeCell ref="A29:B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F8E8-F412-4A87-9FF1-70635806475D}">
  <sheetPr>
    <tabColor theme="6" tint="0.59999389629810485"/>
  </sheetPr>
  <dimension ref="A1:F32"/>
  <sheetViews>
    <sheetView topLeftCell="A11" zoomScaleNormal="100" workbookViewId="0">
      <selection activeCell="D8" sqref="D8"/>
    </sheetView>
  </sheetViews>
  <sheetFormatPr defaultColWidth="9" defaultRowHeight="21" x14ac:dyDescent="0.35"/>
  <cols>
    <col min="1" max="1" width="6.25" style="29" customWidth="1"/>
    <col min="2" max="2" width="45.125" style="10" customWidth="1"/>
    <col min="3" max="3" width="15.625" style="12" customWidth="1"/>
    <col min="4" max="4" width="63.375" style="29" customWidth="1"/>
    <col min="5" max="16384" width="9" style="29"/>
  </cols>
  <sheetData>
    <row r="1" spans="1:6" s="26" customFormat="1" ht="45" customHeight="1" x14ac:dyDescent="0.2">
      <c r="A1" s="25" t="s">
        <v>0</v>
      </c>
      <c r="B1" s="25" t="s">
        <v>1</v>
      </c>
      <c r="C1" s="24" t="s">
        <v>2</v>
      </c>
    </row>
    <row r="2" spans="1:6" ht="24.95" customHeight="1" x14ac:dyDescent="0.4">
      <c r="A2" s="27">
        <v>1</v>
      </c>
      <c r="B2" s="30" t="s">
        <v>9</v>
      </c>
      <c r="C2" s="14">
        <v>4000</v>
      </c>
      <c r="F2" s="42"/>
    </row>
    <row r="3" spans="1:6" ht="24.95" customHeight="1" x14ac:dyDescent="0.4">
      <c r="A3" s="27">
        <v>2</v>
      </c>
      <c r="B3" s="30" t="s">
        <v>8</v>
      </c>
      <c r="C3" s="14">
        <v>30000</v>
      </c>
      <c r="F3" s="42"/>
    </row>
    <row r="4" spans="1:6" ht="24.95" customHeight="1" x14ac:dyDescent="0.4">
      <c r="A4" s="27">
        <v>3</v>
      </c>
      <c r="B4" s="30" t="s">
        <v>31</v>
      </c>
      <c r="C4" s="14">
        <v>20080</v>
      </c>
      <c r="F4" s="42"/>
    </row>
    <row r="5" spans="1:6" ht="24.95" customHeight="1" x14ac:dyDescent="0.4">
      <c r="A5" s="27">
        <v>4</v>
      </c>
      <c r="B5" s="30" t="s">
        <v>10</v>
      </c>
      <c r="C5" s="14">
        <v>20000</v>
      </c>
      <c r="F5" s="42"/>
    </row>
    <row r="6" spans="1:6" ht="24.95" customHeight="1" x14ac:dyDescent="0.4">
      <c r="A6" s="27">
        <v>5</v>
      </c>
      <c r="B6" s="30" t="s">
        <v>15</v>
      </c>
      <c r="C6" s="14">
        <v>210000</v>
      </c>
      <c r="F6" s="42"/>
    </row>
    <row r="7" spans="1:6" ht="24.95" customHeight="1" x14ac:dyDescent="0.4">
      <c r="A7" s="27">
        <v>6</v>
      </c>
      <c r="B7" s="30" t="s">
        <v>16</v>
      </c>
      <c r="C7" s="14">
        <v>55000</v>
      </c>
      <c r="F7" s="42"/>
    </row>
    <row r="8" spans="1:6" ht="24.95" customHeight="1" x14ac:dyDescent="0.4">
      <c r="A8" s="27">
        <v>7</v>
      </c>
      <c r="B8" s="30" t="s">
        <v>21</v>
      </c>
      <c r="C8" s="14">
        <v>50000</v>
      </c>
      <c r="F8" s="42"/>
    </row>
    <row r="9" spans="1:6" ht="24.95" customHeight="1" x14ac:dyDescent="0.4">
      <c r="A9" s="27">
        <v>8</v>
      </c>
      <c r="B9" s="30" t="s">
        <v>24</v>
      </c>
      <c r="C9" s="14">
        <v>2000</v>
      </c>
      <c r="F9" s="42"/>
    </row>
    <row r="10" spans="1:6" ht="24.95" customHeight="1" x14ac:dyDescent="0.4">
      <c r="A10" s="27">
        <v>9</v>
      </c>
      <c r="B10" s="30" t="s">
        <v>25</v>
      </c>
      <c r="C10" s="14">
        <v>20000</v>
      </c>
      <c r="F10" s="42"/>
    </row>
    <row r="11" spans="1:6" ht="58.5" customHeight="1" x14ac:dyDescent="0.35">
      <c r="A11" s="27">
        <v>10</v>
      </c>
      <c r="B11" s="30" t="s">
        <v>72</v>
      </c>
      <c r="C11" s="14">
        <v>348000</v>
      </c>
      <c r="D11" s="44" t="s">
        <v>103</v>
      </c>
    </row>
    <row r="12" spans="1:6" x14ac:dyDescent="0.4">
      <c r="A12" s="27">
        <v>11</v>
      </c>
      <c r="B12" s="33" t="s">
        <v>38</v>
      </c>
      <c r="C12" s="14">
        <v>10000</v>
      </c>
      <c r="F12" s="41"/>
    </row>
    <row r="13" spans="1:6" ht="42" x14ac:dyDescent="0.4">
      <c r="A13" s="27">
        <v>12</v>
      </c>
      <c r="B13" s="36" t="s">
        <v>51</v>
      </c>
      <c r="C13" s="21">
        <v>15000</v>
      </c>
      <c r="F13" s="41"/>
    </row>
    <row r="14" spans="1:6" x14ac:dyDescent="0.4">
      <c r="A14" s="27">
        <v>13</v>
      </c>
      <c r="B14" s="36" t="s">
        <v>52</v>
      </c>
      <c r="C14" s="21">
        <v>10000</v>
      </c>
      <c r="F14" s="41"/>
    </row>
    <row r="15" spans="1:6" x14ac:dyDescent="0.4">
      <c r="A15" s="27">
        <v>14</v>
      </c>
      <c r="B15" s="37" t="s">
        <v>53</v>
      </c>
      <c r="C15" s="21">
        <v>60000</v>
      </c>
      <c r="F15" s="41"/>
    </row>
    <row r="16" spans="1:6" x14ac:dyDescent="0.4">
      <c r="A16" s="27">
        <v>15</v>
      </c>
      <c r="B16" s="38" t="s">
        <v>54</v>
      </c>
      <c r="C16" s="21">
        <v>15000</v>
      </c>
      <c r="F16" s="41"/>
    </row>
    <row r="17" spans="1:3" x14ac:dyDescent="0.2">
      <c r="A17" s="84" t="s">
        <v>5</v>
      </c>
      <c r="B17" s="84"/>
      <c r="C17" s="15">
        <f>SUM(C2:C16)</f>
        <v>869080</v>
      </c>
    </row>
    <row r="18" spans="1:3" x14ac:dyDescent="0.35">
      <c r="C18" s="20"/>
    </row>
    <row r="19" spans="1:3" x14ac:dyDescent="0.35">
      <c r="C19" s="20"/>
    </row>
    <row r="20" spans="1:3" x14ac:dyDescent="0.35">
      <c r="C20" s="20"/>
    </row>
    <row r="21" spans="1:3" x14ac:dyDescent="0.35">
      <c r="C21" s="20"/>
    </row>
    <row r="22" spans="1:3" x14ac:dyDescent="0.35">
      <c r="C22" s="20"/>
    </row>
    <row r="23" spans="1:3" x14ac:dyDescent="0.35">
      <c r="C23" s="20"/>
    </row>
    <row r="24" spans="1:3" x14ac:dyDescent="0.35">
      <c r="C24" s="20"/>
    </row>
    <row r="25" spans="1:3" x14ac:dyDescent="0.35">
      <c r="C25" s="20"/>
    </row>
    <row r="26" spans="1:3" x14ac:dyDescent="0.35">
      <c r="C26" s="20"/>
    </row>
    <row r="27" spans="1:3" x14ac:dyDescent="0.35">
      <c r="C27" s="20"/>
    </row>
    <row r="28" spans="1:3" x14ac:dyDescent="0.35">
      <c r="C28" s="20"/>
    </row>
    <row r="29" spans="1:3" x14ac:dyDescent="0.35">
      <c r="C29" s="20"/>
    </row>
    <row r="30" spans="1:3" x14ac:dyDescent="0.35">
      <c r="C30" s="20"/>
    </row>
    <row r="31" spans="1:3" x14ac:dyDescent="0.35">
      <c r="C31" s="20"/>
    </row>
    <row r="32" spans="1:3" x14ac:dyDescent="0.35">
      <c r="C32" s="20"/>
    </row>
  </sheetData>
  <mergeCells count="1">
    <mergeCell ref="A17:B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BE68-B826-4C77-AFAE-04FE8F6D30D4}">
  <sheetPr>
    <tabColor theme="8" tint="0.39997558519241921"/>
  </sheetPr>
  <dimension ref="A1:F38"/>
  <sheetViews>
    <sheetView topLeftCell="A18" zoomScaleNormal="100" workbookViewId="0">
      <selection activeCell="F12" sqref="F12"/>
    </sheetView>
  </sheetViews>
  <sheetFormatPr defaultColWidth="9" defaultRowHeight="21" x14ac:dyDescent="0.35"/>
  <cols>
    <col min="1" max="1" width="6.25" style="29" customWidth="1"/>
    <col min="2" max="2" width="45.125" style="10" customWidth="1"/>
    <col min="3" max="3" width="17.875" style="12" customWidth="1"/>
    <col min="4" max="16384" width="9" style="29"/>
  </cols>
  <sheetData>
    <row r="1" spans="1:6" s="26" customFormat="1" ht="45" customHeight="1" x14ac:dyDescent="0.2">
      <c r="A1" s="25" t="s">
        <v>0</v>
      </c>
      <c r="B1" s="25" t="s">
        <v>1</v>
      </c>
      <c r="C1" s="24" t="s">
        <v>3</v>
      </c>
    </row>
    <row r="2" spans="1:6" ht="24.95" customHeight="1" x14ac:dyDescent="0.4">
      <c r="A2" s="27">
        <v>1</v>
      </c>
      <c r="B2" s="30" t="s">
        <v>8</v>
      </c>
      <c r="C2" s="16">
        <v>40000</v>
      </c>
      <c r="F2" s="42"/>
    </row>
    <row r="3" spans="1:6" ht="24.95" customHeight="1" x14ac:dyDescent="0.4">
      <c r="A3" s="27">
        <v>2</v>
      </c>
      <c r="B3" s="30" t="s">
        <v>15</v>
      </c>
      <c r="C3" s="16">
        <v>120000</v>
      </c>
      <c r="F3" s="42"/>
    </row>
    <row r="4" spans="1:6" ht="24.95" customHeight="1" x14ac:dyDescent="0.4">
      <c r="A4" s="27">
        <v>3</v>
      </c>
      <c r="B4" s="30" t="s">
        <v>16</v>
      </c>
      <c r="C4" s="16">
        <v>50000</v>
      </c>
      <c r="F4" s="42"/>
    </row>
    <row r="5" spans="1:6" ht="24.95" customHeight="1" x14ac:dyDescent="0.4">
      <c r="A5" s="27">
        <v>4</v>
      </c>
      <c r="B5" s="30" t="s">
        <v>17</v>
      </c>
      <c r="C5" s="16">
        <v>5720</v>
      </c>
      <c r="F5" s="42"/>
    </row>
    <row r="6" spans="1:6" ht="24.95" customHeight="1" x14ac:dyDescent="0.4">
      <c r="A6" s="27">
        <v>5</v>
      </c>
      <c r="B6" s="30" t="s">
        <v>18</v>
      </c>
      <c r="C6" s="16">
        <v>4000</v>
      </c>
      <c r="F6" s="42"/>
    </row>
    <row r="7" spans="1:6" ht="24.95" customHeight="1" x14ac:dyDescent="0.4">
      <c r="A7" s="27">
        <v>6</v>
      </c>
      <c r="B7" s="30" t="s">
        <v>37</v>
      </c>
      <c r="C7" s="16">
        <v>70000</v>
      </c>
      <c r="F7" s="42"/>
    </row>
    <row r="8" spans="1:6" ht="24.95" customHeight="1" x14ac:dyDescent="0.4">
      <c r="A8" s="27">
        <v>7</v>
      </c>
      <c r="B8" s="30" t="s">
        <v>21</v>
      </c>
      <c r="C8" s="16">
        <v>100000</v>
      </c>
      <c r="F8" s="42"/>
    </row>
    <row r="9" spans="1:6" ht="24.95" customHeight="1" x14ac:dyDescent="0.4">
      <c r="A9" s="27">
        <v>8</v>
      </c>
      <c r="B9" s="30" t="s">
        <v>22</v>
      </c>
      <c r="C9" s="16">
        <v>70000</v>
      </c>
      <c r="F9" s="42"/>
    </row>
    <row r="10" spans="1:6" ht="24.95" customHeight="1" x14ac:dyDescent="0.4">
      <c r="A10" s="27">
        <v>9</v>
      </c>
      <c r="B10" s="30" t="s">
        <v>24</v>
      </c>
      <c r="C10" s="16">
        <v>1000</v>
      </c>
      <c r="F10" s="42"/>
    </row>
    <row r="11" spans="1:6" ht="24.95" customHeight="1" x14ac:dyDescent="0.4">
      <c r="A11" s="27">
        <v>10</v>
      </c>
      <c r="B11" s="30" t="s">
        <v>25</v>
      </c>
      <c r="C11" s="16">
        <v>20000</v>
      </c>
      <c r="F11" s="42"/>
    </row>
    <row r="12" spans="1:6" x14ac:dyDescent="0.4">
      <c r="A12" s="27">
        <v>11</v>
      </c>
      <c r="B12" s="33" t="s">
        <v>38</v>
      </c>
      <c r="C12" s="16">
        <v>14000</v>
      </c>
      <c r="F12" s="41"/>
    </row>
    <row r="13" spans="1:6" x14ac:dyDescent="0.2">
      <c r="A13" s="27">
        <v>12</v>
      </c>
      <c r="B13" s="31" t="s">
        <v>78</v>
      </c>
      <c r="C13" s="11">
        <v>15000</v>
      </c>
      <c r="F13" s="43"/>
    </row>
    <row r="14" spans="1:6" ht="63" x14ac:dyDescent="0.2">
      <c r="A14" s="27">
        <v>13</v>
      </c>
      <c r="B14" s="31" t="s">
        <v>79</v>
      </c>
      <c r="C14" s="11">
        <v>15000</v>
      </c>
    </row>
    <row r="15" spans="1:6" x14ac:dyDescent="0.2">
      <c r="A15" s="27">
        <v>14</v>
      </c>
      <c r="B15" s="31" t="s">
        <v>80</v>
      </c>
      <c r="C15" s="11">
        <v>11000</v>
      </c>
    </row>
    <row r="16" spans="1:6" x14ac:dyDescent="0.2">
      <c r="A16" s="27">
        <v>15</v>
      </c>
      <c r="B16" s="31" t="s">
        <v>81</v>
      </c>
      <c r="C16" s="11">
        <v>11000</v>
      </c>
    </row>
    <row r="17" spans="1:3" ht="42" x14ac:dyDescent="0.2">
      <c r="A17" s="27">
        <v>16</v>
      </c>
      <c r="B17" s="31" t="s">
        <v>82</v>
      </c>
      <c r="C17" s="11">
        <v>90000</v>
      </c>
    </row>
    <row r="18" spans="1:3" x14ac:dyDescent="0.2">
      <c r="A18" s="27">
        <v>17</v>
      </c>
      <c r="B18" s="31" t="s">
        <v>29</v>
      </c>
      <c r="C18" s="11">
        <v>50000</v>
      </c>
    </row>
    <row r="19" spans="1:3" x14ac:dyDescent="0.2">
      <c r="A19" s="27">
        <v>18</v>
      </c>
      <c r="B19" s="31" t="s">
        <v>83</v>
      </c>
      <c r="C19" s="11">
        <v>8000</v>
      </c>
    </row>
    <row r="20" spans="1:3" x14ac:dyDescent="0.2">
      <c r="A20" s="27">
        <v>19</v>
      </c>
      <c r="B20" s="31" t="s">
        <v>30</v>
      </c>
      <c r="C20" s="11">
        <v>40000</v>
      </c>
    </row>
    <row r="21" spans="1:3" ht="42" x14ac:dyDescent="0.2">
      <c r="A21" s="27">
        <v>20</v>
      </c>
      <c r="B21" s="34" t="s">
        <v>84</v>
      </c>
      <c r="C21" s="15">
        <v>24000</v>
      </c>
    </row>
    <row r="22" spans="1:3" ht="42" x14ac:dyDescent="0.2">
      <c r="A22" s="27">
        <v>21</v>
      </c>
      <c r="B22" s="34" t="s">
        <v>85</v>
      </c>
      <c r="C22" s="15">
        <v>100000</v>
      </c>
    </row>
    <row r="23" spans="1:3" x14ac:dyDescent="0.2">
      <c r="A23" s="84" t="s">
        <v>5</v>
      </c>
      <c r="B23" s="84"/>
      <c r="C23" s="15">
        <f>SUM(C2:C22)</f>
        <v>858720</v>
      </c>
    </row>
    <row r="24" spans="1:3" x14ac:dyDescent="0.35">
      <c r="C24" s="20"/>
    </row>
    <row r="25" spans="1:3" x14ac:dyDescent="0.35">
      <c r="C25" s="20"/>
    </row>
    <row r="26" spans="1:3" x14ac:dyDescent="0.35">
      <c r="C26" s="20"/>
    </row>
    <row r="27" spans="1:3" x14ac:dyDescent="0.35">
      <c r="C27" s="20"/>
    </row>
    <row r="28" spans="1:3" x14ac:dyDescent="0.35">
      <c r="C28" s="20"/>
    </row>
    <row r="29" spans="1:3" x14ac:dyDescent="0.35">
      <c r="C29" s="20"/>
    </row>
    <row r="30" spans="1:3" x14ac:dyDescent="0.35">
      <c r="C30" s="20"/>
    </row>
    <row r="31" spans="1:3" x14ac:dyDescent="0.35">
      <c r="C31" s="20"/>
    </row>
    <row r="32" spans="1:3" x14ac:dyDescent="0.35">
      <c r="C32" s="20"/>
    </row>
    <row r="33" spans="3:3" x14ac:dyDescent="0.35">
      <c r="C33" s="20"/>
    </row>
    <row r="34" spans="3:3" x14ac:dyDescent="0.35">
      <c r="C34" s="20"/>
    </row>
    <row r="35" spans="3:3" x14ac:dyDescent="0.35">
      <c r="C35" s="20"/>
    </row>
    <row r="36" spans="3:3" x14ac:dyDescent="0.35">
      <c r="C36" s="20"/>
    </row>
    <row r="37" spans="3:3" x14ac:dyDescent="0.35">
      <c r="C37" s="20"/>
    </row>
    <row r="38" spans="3:3" x14ac:dyDescent="0.35">
      <c r="C38" s="20"/>
    </row>
  </sheetData>
  <mergeCells count="1">
    <mergeCell ref="A23:B23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5044-8282-479C-8D64-BED8F5F94C0B}">
  <sheetPr>
    <tabColor theme="5" tint="0.39997558519241921"/>
  </sheetPr>
  <dimension ref="A1:F14"/>
  <sheetViews>
    <sheetView topLeftCell="A7" workbookViewId="0">
      <selection activeCell="D11" sqref="D11"/>
    </sheetView>
  </sheetViews>
  <sheetFormatPr defaultColWidth="9" defaultRowHeight="21" x14ac:dyDescent="0.35"/>
  <cols>
    <col min="1" max="1" width="6.25" style="29" customWidth="1"/>
    <col min="2" max="2" width="45.125" style="10" customWidth="1"/>
    <col min="3" max="3" width="17.25" style="12" customWidth="1"/>
    <col min="4" max="4" width="50.875" style="29" customWidth="1"/>
    <col min="5" max="16384" width="9" style="29"/>
  </cols>
  <sheetData>
    <row r="1" spans="1:6" s="26" customFormat="1" ht="45" customHeight="1" x14ac:dyDescent="0.2">
      <c r="A1" s="25" t="s">
        <v>0</v>
      </c>
      <c r="B1" s="25" t="s">
        <v>1</v>
      </c>
      <c r="C1" s="24" t="s">
        <v>59</v>
      </c>
    </row>
    <row r="2" spans="1:6" ht="24.95" customHeight="1" x14ac:dyDescent="0.4">
      <c r="A2" s="27">
        <v>1</v>
      </c>
      <c r="B2" s="30" t="s">
        <v>31</v>
      </c>
      <c r="C2" s="14">
        <v>22500</v>
      </c>
      <c r="F2" s="42"/>
    </row>
    <row r="3" spans="1:6" ht="24.95" customHeight="1" x14ac:dyDescent="0.4">
      <c r="A3" s="27">
        <v>2</v>
      </c>
      <c r="B3" s="30" t="s">
        <v>10</v>
      </c>
      <c r="C3" s="14">
        <v>20000</v>
      </c>
      <c r="F3" s="42"/>
    </row>
    <row r="4" spans="1:6" ht="24.95" customHeight="1" x14ac:dyDescent="0.4">
      <c r="A4" s="27">
        <v>3</v>
      </c>
      <c r="B4" s="30" t="s">
        <v>15</v>
      </c>
      <c r="C4" s="14">
        <v>225000</v>
      </c>
      <c r="F4" s="42"/>
    </row>
    <row r="5" spans="1:6" ht="24.95" customHeight="1" x14ac:dyDescent="0.4">
      <c r="A5" s="27">
        <v>4</v>
      </c>
      <c r="B5" s="30" t="s">
        <v>16</v>
      </c>
      <c r="C5" s="14">
        <v>41020</v>
      </c>
      <c r="F5" s="42"/>
    </row>
    <row r="6" spans="1:6" ht="24.95" customHeight="1" x14ac:dyDescent="0.4">
      <c r="A6" s="27">
        <v>5</v>
      </c>
      <c r="B6" s="30" t="s">
        <v>22</v>
      </c>
      <c r="C6" s="14">
        <v>30000</v>
      </c>
      <c r="F6" s="42"/>
    </row>
    <row r="7" spans="1:6" ht="24.95" customHeight="1" x14ac:dyDescent="0.4">
      <c r="A7" s="27">
        <v>6</v>
      </c>
      <c r="B7" s="30" t="s">
        <v>24</v>
      </c>
      <c r="C7" s="14">
        <v>1000</v>
      </c>
      <c r="F7" s="42"/>
    </row>
    <row r="8" spans="1:6" ht="24.95" customHeight="1" x14ac:dyDescent="0.4">
      <c r="A8" s="27">
        <v>7</v>
      </c>
      <c r="B8" s="30" t="s">
        <v>25</v>
      </c>
      <c r="C8" s="14">
        <v>50000</v>
      </c>
      <c r="F8" s="42"/>
    </row>
    <row r="9" spans="1:6" ht="65.25" customHeight="1" x14ac:dyDescent="0.2">
      <c r="A9" s="27">
        <v>8</v>
      </c>
      <c r="B9" s="33" t="s">
        <v>72</v>
      </c>
      <c r="C9" s="14">
        <v>80000</v>
      </c>
      <c r="D9" s="44" t="s">
        <v>105</v>
      </c>
    </row>
    <row r="10" spans="1:6" ht="24.75" customHeight="1" x14ac:dyDescent="0.35">
      <c r="A10" s="27">
        <v>9</v>
      </c>
      <c r="B10" s="30" t="s">
        <v>75</v>
      </c>
      <c r="C10" s="14">
        <v>100000</v>
      </c>
      <c r="D10" s="45" t="s">
        <v>104</v>
      </c>
    </row>
    <row r="11" spans="1:6" ht="42" x14ac:dyDescent="0.4">
      <c r="A11" s="27">
        <v>10</v>
      </c>
      <c r="B11" s="31" t="s">
        <v>56</v>
      </c>
      <c r="C11" s="11">
        <v>20000</v>
      </c>
      <c r="F11" s="41"/>
    </row>
    <row r="12" spans="1:6" x14ac:dyDescent="0.4">
      <c r="A12" s="27">
        <v>11</v>
      </c>
      <c r="B12" s="31" t="s">
        <v>57</v>
      </c>
      <c r="C12" s="11">
        <v>30000</v>
      </c>
      <c r="F12" s="41"/>
    </row>
    <row r="13" spans="1:6" x14ac:dyDescent="0.4">
      <c r="A13" s="27">
        <v>12</v>
      </c>
      <c r="B13" s="34" t="s">
        <v>58</v>
      </c>
      <c r="C13" s="11">
        <v>30000</v>
      </c>
      <c r="F13" s="41"/>
    </row>
    <row r="14" spans="1:6" x14ac:dyDescent="0.2">
      <c r="A14" s="84" t="s">
        <v>5</v>
      </c>
      <c r="B14" s="84"/>
      <c r="C14" s="15">
        <f>SUM(C2:C13)</f>
        <v>649520</v>
      </c>
    </row>
  </sheetData>
  <mergeCells count="1">
    <mergeCell ref="A14:B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AC05-353A-415E-9114-87168D3FB8F3}">
  <sheetPr>
    <tabColor rgb="FFFFFF00"/>
  </sheetPr>
  <dimension ref="A1:F12"/>
  <sheetViews>
    <sheetView workbookViewId="0">
      <selection activeCell="I9" sqref="I9"/>
    </sheetView>
  </sheetViews>
  <sheetFormatPr defaultColWidth="9" defaultRowHeight="21" x14ac:dyDescent="0.35"/>
  <cols>
    <col min="1" max="1" width="6.25" style="29" customWidth="1"/>
    <col min="2" max="2" width="45.125" style="10" customWidth="1"/>
    <col min="3" max="3" width="17.25" style="12" customWidth="1"/>
    <col min="4" max="4" width="50.25" style="29" customWidth="1"/>
    <col min="5" max="16384" width="9" style="29"/>
  </cols>
  <sheetData>
    <row r="1" spans="1:6" s="26" customFormat="1" ht="45" customHeight="1" x14ac:dyDescent="0.2">
      <c r="A1" s="25" t="s">
        <v>0</v>
      </c>
      <c r="B1" s="25" t="s">
        <v>1</v>
      </c>
      <c r="C1" s="24" t="s">
        <v>74</v>
      </c>
    </row>
    <row r="2" spans="1:6" ht="24.95" customHeight="1" x14ac:dyDescent="0.4">
      <c r="A2" s="27">
        <v>1</v>
      </c>
      <c r="B2" s="30" t="s">
        <v>31</v>
      </c>
      <c r="C2" s="14">
        <v>22500</v>
      </c>
      <c r="F2" s="42"/>
    </row>
    <row r="3" spans="1:6" ht="24.95" customHeight="1" x14ac:dyDescent="0.4">
      <c r="A3" s="27">
        <v>2</v>
      </c>
      <c r="B3" s="30" t="s">
        <v>10</v>
      </c>
      <c r="C3" s="14">
        <v>10000</v>
      </c>
      <c r="F3" s="42"/>
    </row>
    <row r="4" spans="1:6" ht="24.95" customHeight="1" x14ac:dyDescent="0.4">
      <c r="A4" s="27">
        <v>3</v>
      </c>
      <c r="B4" s="30" t="s">
        <v>16</v>
      </c>
      <c r="C4" s="14">
        <v>20000</v>
      </c>
      <c r="F4" s="42"/>
    </row>
    <row r="5" spans="1:6" ht="24.95" customHeight="1" x14ac:dyDescent="0.4">
      <c r="A5" s="27">
        <v>4</v>
      </c>
      <c r="B5" s="30" t="s">
        <v>17</v>
      </c>
      <c r="C5" s="14">
        <v>34650</v>
      </c>
      <c r="F5" s="42"/>
    </row>
    <row r="6" spans="1:6" ht="24.95" customHeight="1" x14ac:dyDescent="0.4">
      <c r="A6" s="27">
        <v>5</v>
      </c>
      <c r="B6" s="30" t="s">
        <v>22</v>
      </c>
      <c r="C6" s="14">
        <v>30000</v>
      </c>
      <c r="F6" s="42"/>
    </row>
    <row r="7" spans="1:6" ht="24.95" customHeight="1" x14ac:dyDescent="0.4">
      <c r="A7" s="27">
        <v>6</v>
      </c>
      <c r="B7" s="30" t="s">
        <v>24</v>
      </c>
      <c r="C7" s="14">
        <v>2000</v>
      </c>
      <c r="F7" s="42"/>
    </row>
    <row r="8" spans="1:6" ht="24.95" customHeight="1" x14ac:dyDescent="0.4">
      <c r="A8" s="27">
        <v>7</v>
      </c>
      <c r="B8" s="30" t="s">
        <v>25</v>
      </c>
      <c r="C8" s="14">
        <v>15000</v>
      </c>
      <c r="F8" s="42"/>
    </row>
    <row r="9" spans="1:6" ht="42" x14ac:dyDescent="0.35">
      <c r="A9" s="27">
        <v>8</v>
      </c>
      <c r="B9" s="30" t="s">
        <v>72</v>
      </c>
      <c r="C9" s="14">
        <v>325000</v>
      </c>
      <c r="D9" s="44" t="s">
        <v>107</v>
      </c>
    </row>
    <row r="10" spans="1:6" x14ac:dyDescent="0.4">
      <c r="A10" s="27">
        <v>9</v>
      </c>
      <c r="B10" s="39" t="s">
        <v>76</v>
      </c>
      <c r="C10" s="22">
        <v>60000</v>
      </c>
      <c r="F10" s="41"/>
    </row>
    <row r="11" spans="1:6" ht="63" x14ac:dyDescent="0.4">
      <c r="A11" s="27">
        <v>10</v>
      </c>
      <c r="B11" s="39" t="s">
        <v>77</v>
      </c>
      <c r="C11" s="40">
        <v>235000</v>
      </c>
      <c r="D11" s="29" t="s">
        <v>106</v>
      </c>
      <c r="F11" s="41"/>
    </row>
    <row r="12" spans="1:6" x14ac:dyDescent="0.2">
      <c r="A12" s="84" t="s">
        <v>5</v>
      </c>
      <c r="B12" s="84"/>
      <c r="C12" s="15">
        <f>SUM(C2:C11)</f>
        <v>754150</v>
      </c>
    </row>
  </sheetData>
  <mergeCells count="1"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งบประมาณที่ได้รับปี 70</vt:lpstr>
      <vt:lpstr>รวมงบค่าใช้จ่ายวิทย์แพทย์70</vt:lpstr>
      <vt:lpstr>สรุปงบประมาณส่วนบริหารคณะฯ 70</vt:lpstr>
      <vt:lpstr>สรุปงบประมาณ จุล 70</vt:lpstr>
      <vt:lpstr>สรุปงบประมาณ ชีวเคมี 70</vt:lpstr>
      <vt:lpstr> สรุปงบประมาณ โภชนาการ 70</vt:lpstr>
      <vt:lpstr>สรุปงบประมาณ สรีระ70</vt:lpstr>
      <vt:lpstr>สรุปงบประมาณ กายวิภาค 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nungruethai tunkhruea</dc:creator>
  <cp:lastModifiedBy>nungruethai tunkhruea</cp:lastModifiedBy>
  <dcterms:created xsi:type="dcterms:W3CDTF">2024-03-18T09:16:58Z</dcterms:created>
  <dcterms:modified xsi:type="dcterms:W3CDTF">2026-08-19T02:28:41Z</dcterms:modified>
</cp:coreProperties>
</file>